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k\Documents\Data Analitics\Excel\Practice\"/>
    </mc:Choice>
  </mc:AlternateContent>
  <xr:revisionPtr revIDLastSave="0" documentId="13_ncr:1_{249CF1A5-7C39-4729-B072-A2D649375EAC}" xr6:coauthVersionLast="47" xr6:coauthVersionMax="47" xr10:uidLastSave="{00000000-0000-0000-0000-000000000000}"/>
  <bookViews>
    <workbookView xWindow="-108" yWindow="-108" windowWidth="23256" windowHeight="13176" activeTab="2" xr2:uid="{1D45D817-CB96-4A80-A59B-899BC8B02582}"/>
  </bookViews>
  <sheets>
    <sheet name="Task 1" sheetId="1" r:id="rId1"/>
    <sheet name="Task 2" sheetId="2" r:id="rId2"/>
    <sheet name="Task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G9" i="3"/>
  <c r="F9" i="3"/>
  <c r="I3" i="2"/>
  <c r="I4" i="2"/>
  <c r="I5" i="2"/>
  <c r="I6" i="2"/>
  <c r="I7" i="2"/>
  <c r="I8" i="2"/>
  <c r="I2" i="2"/>
  <c r="H3" i="2"/>
  <c r="H4" i="2"/>
  <c r="H5" i="2"/>
  <c r="H6" i="2"/>
  <c r="H7" i="2"/>
  <c r="H8" i="2"/>
  <c r="H2" i="2"/>
  <c r="F3" i="2"/>
  <c r="G3" i="2" a="1"/>
  <c r="G3" i="2" s="1"/>
  <c r="G4" i="2" a="1"/>
  <c r="G4" i="2" s="1"/>
  <c r="G5" i="2" a="1"/>
  <c r="G5" i="2" s="1"/>
  <c r="G6" i="2" a="1"/>
  <c r="G6" i="2"/>
  <c r="G7" i="2" a="1"/>
  <c r="G7" i="2" s="1"/>
  <c r="G8" i="2" a="1"/>
  <c r="G8" i="2" s="1"/>
  <c r="G2" i="2" a="1"/>
  <c r="G2" i="2" s="1"/>
  <c r="F4" i="2"/>
  <c r="F5" i="2"/>
  <c r="F6" i="2"/>
  <c r="F7" i="2"/>
  <c r="F8" i="2"/>
  <c r="F2" i="2"/>
  <c r="K2" i="1"/>
  <c r="K3" i="1"/>
  <c r="K4" i="1"/>
  <c r="K5" i="1"/>
  <c r="K6" i="1"/>
  <c r="K7" i="1"/>
  <c r="J3" i="1"/>
  <c r="J2" i="1"/>
  <c r="J4" i="1"/>
  <c r="J5" i="1"/>
  <c r="J6" i="1"/>
  <c r="J7" i="1"/>
  <c r="I2" i="1"/>
  <c r="I3" i="1"/>
  <c r="I4" i="1"/>
  <c r="I5" i="1"/>
  <c r="I6" i="1"/>
  <c r="I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<sst xmlns="http://schemas.openxmlformats.org/spreadsheetml/2006/main" count="104" uniqueCount="93">
  <si>
    <t>Sales Rep</t>
  </si>
  <si>
    <t>Region</t>
  </si>
  <si>
    <t>Sales Amount</t>
  </si>
  <si>
    <t>Sarah J.</t>
  </si>
  <si>
    <t>North</t>
  </si>
  <si>
    <t>Mike T.</t>
  </si>
  <si>
    <t>South</t>
  </si>
  <si>
    <t>Emma W.</t>
  </si>
  <si>
    <t>East</t>
  </si>
  <si>
    <t>Lucas P.</t>
  </si>
  <si>
    <t>Davi S.</t>
  </si>
  <si>
    <t>West</t>
  </si>
  <si>
    <t>Jenny L.</t>
  </si>
  <si>
    <t>Employee ID</t>
  </si>
  <si>
    <t>Name</t>
  </si>
  <si>
    <t>Department</t>
  </si>
  <si>
    <t>Rating (1-5)</t>
  </si>
  <si>
    <t>Years Exp.</t>
  </si>
  <si>
    <t>EMP001</t>
  </si>
  <si>
    <t>Alice</t>
  </si>
  <si>
    <t>Sales</t>
  </si>
  <si>
    <t>EMP002</t>
  </si>
  <si>
    <t>Bob</t>
  </si>
  <si>
    <t>IT</t>
  </si>
  <si>
    <t>EMP003</t>
  </si>
  <si>
    <t>Charlie</t>
  </si>
  <si>
    <t>Intern</t>
  </si>
  <si>
    <t>EMP004</t>
  </si>
  <si>
    <t>Diana</t>
  </si>
  <si>
    <t>EMP005</t>
  </si>
  <si>
    <t>Evan</t>
  </si>
  <si>
    <t>EMP006</t>
  </si>
  <si>
    <t>Fiona</t>
  </si>
  <si>
    <t>HR</t>
  </si>
  <si>
    <t>EMP007</t>
  </si>
  <si>
    <t>George</t>
  </si>
  <si>
    <t>SKU</t>
  </si>
  <si>
    <t xml:space="preserve"> Product Name</t>
  </si>
  <si>
    <t xml:space="preserve"> Category</t>
  </si>
  <si>
    <t xml:space="preserve"> Stock Quantity</t>
  </si>
  <si>
    <t>A-101</t>
  </si>
  <si>
    <t xml:space="preserve"> Wireless Mouse</t>
  </si>
  <si>
    <t xml:space="preserve"> Electronics</t>
  </si>
  <si>
    <t xml:space="preserve"> Mech Keyboard</t>
  </si>
  <si>
    <t xml:space="preserve"> Office Chair</t>
  </si>
  <si>
    <t xml:space="preserve"> Furniture</t>
  </si>
  <si>
    <t xml:space="preserve"> Desk Lamp</t>
  </si>
  <si>
    <t xml:space="preserve"> Notebook</t>
  </si>
  <si>
    <t xml:space="preserve"> Stationery</t>
  </si>
  <si>
    <t xml:space="preserve"> Out of Stock</t>
  </si>
  <si>
    <t>C-302</t>
  </si>
  <si>
    <t xml:space="preserve"> Pen Set</t>
  </si>
  <si>
    <t>A-103</t>
  </si>
  <si>
    <t xml:space="preserve"> Monitor 24"</t>
  </si>
  <si>
    <t>B-203</t>
  </si>
  <si>
    <t xml:space="preserve"> Filing Cabinet</t>
  </si>
  <si>
    <t>Standard Rate</t>
  </si>
  <si>
    <t>Bonus Rate</t>
  </si>
  <si>
    <t>Standard Commission</t>
  </si>
  <si>
    <t>Potentail Bonus</t>
  </si>
  <si>
    <t>Total Payout</t>
  </si>
  <si>
    <t>Calculate Standard Commission</t>
  </si>
  <si>
    <t xml:space="preserve">Calculate Bonus Commission: </t>
  </si>
  <si>
    <t xml:space="preserve">Performance Category(IF) </t>
  </si>
  <si>
    <t xml:space="preserve">Performance Category(IFS) </t>
  </si>
  <si>
    <t xml:space="preserve">Probation Check(OR) </t>
  </si>
  <si>
    <t xml:space="preserve">Bonus Eligibility(AND) </t>
  </si>
  <si>
    <r>
      <t>1. Performance Category (Nested IF):</t>
    </r>
    <r>
      <rPr>
        <sz val="12"/>
        <color theme="1"/>
        <rFont val="Times New Roman"/>
        <family val="1"/>
      </rPr>
      <t xml:space="preserve"> Create a column "Rating Category".</t>
    </r>
  </si>
  <si>
    <t>If Rating is 5, "Top Performer"</t>
  </si>
  <si>
    <t>If Rating is 4 or 3, "Meets Expectations"</t>
  </si>
  <si>
    <t>If Rating is &lt; 3, "Improvement Plan"</t>
  </si>
  <si>
    <r>
      <t>Constraint:</t>
    </r>
    <r>
      <rPr>
        <sz val="12"/>
        <color theme="1"/>
        <rFont val="Times New Roman"/>
        <family val="1"/>
      </rPr>
      <t xml:space="preserve"> Use a Nested IF first. Then, try to replicate it using the IFS function in the next column.</t>
    </r>
  </si>
  <si>
    <r>
      <t>2. Bonus Eligibility (AND Logic):</t>
    </r>
    <r>
      <rPr>
        <sz val="12"/>
        <color theme="1"/>
        <rFont val="Times New Roman"/>
        <family val="1"/>
      </rPr>
      <t xml:space="preserve"> Create a column "Eligible for Cash Bonus?".</t>
    </r>
  </si>
  <si>
    <r>
      <t xml:space="preserve">Rule: Employee must have a Rating &gt;= 4 </t>
    </r>
    <r>
      <rPr>
        <b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Years of Experience &gt; 2.</t>
    </r>
  </si>
  <si>
    <t>Result should be TRUE or FALSE.</t>
  </si>
  <si>
    <r>
      <t>3. Probation Check (OR Logic):</t>
    </r>
    <r>
      <rPr>
        <sz val="12"/>
        <color theme="1"/>
        <rFont val="Times New Roman"/>
        <family val="1"/>
      </rPr>
      <t xml:space="preserve"> Create a column "Review Required?".</t>
    </r>
  </si>
  <si>
    <r>
      <t xml:space="preserve">Rule: Review is required if Rating &lt; 3 </t>
    </r>
    <r>
      <rPr>
        <b/>
        <sz val="12"/>
        <color theme="1"/>
        <rFont val="Times New Roman"/>
        <family val="1"/>
      </rPr>
      <t>OR</t>
    </r>
    <r>
      <rPr>
        <sz val="12"/>
        <color theme="1"/>
        <rFont val="Times New Roman"/>
        <family val="1"/>
      </rPr>
      <t xml:space="preserve"> Department is "Intern".</t>
    </r>
  </si>
  <si>
    <t>Result should display "Review" or "Safe".</t>
  </si>
  <si>
    <r>
      <t>o</t>
    </r>
    <r>
      <rPr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Times New Roman"/>
        <family val="1"/>
      </rPr>
      <t>Total Rows:</t>
    </r>
    <r>
      <rPr>
        <sz val="12"/>
        <color theme="1"/>
        <rFont val="Times New Roman"/>
        <family val="1"/>
      </rPr>
      <t xml:space="preserve"> Use COUNTA on the Product Name column.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</si>
  <si>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Times New Roman"/>
        <family val="1"/>
      </rPr>
      <t>Items with Stock Data:</t>
    </r>
    <r>
      <rPr>
        <sz val="12"/>
        <color theme="1"/>
        <rFont val="Times New Roman"/>
        <family val="1"/>
      </rPr>
      <t xml:space="preserve"> Use COUNT on the Stock Quantity column.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</si>
  <si>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Times New Roman"/>
        <family val="1"/>
      </rPr>
      <t>Missing Stock Data:</t>
    </r>
    <r>
      <rPr>
        <sz val="12"/>
        <color theme="1"/>
        <rFont val="Times New Roman"/>
        <family val="1"/>
      </rPr>
      <t xml:space="preserve"> Use COUNTBLANK on the Stock Quantity column.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</si>
  <si>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 xml:space="preserve">Type the number </t>
    </r>
    <r>
      <rPr>
        <b/>
        <sz val="12"/>
        <color theme="1"/>
        <rFont val="Times New Roman"/>
        <family val="1"/>
      </rPr>
      <t>50</t>
    </r>
    <r>
      <rPr>
        <sz val="12"/>
        <color theme="1"/>
        <rFont val="Times New Roman"/>
        <family val="1"/>
      </rPr>
      <t xml:space="preserve"> in cell </t>
    </r>
    <r>
      <rPr>
        <b/>
        <sz val="12"/>
        <color theme="1"/>
        <rFont val="Times New Roman"/>
        <family val="1"/>
      </rPr>
      <t>F1</t>
    </r>
    <r>
      <rPr>
        <sz val="12"/>
        <color theme="1"/>
        <rFont val="Times New Roman"/>
        <family val="1"/>
      </rPr>
      <t>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</si>
  <si>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 xml:space="preserve">Write a formula to count how many items have a Stock Quantity </t>
    </r>
    <r>
      <rPr>
        <b/>
        <sz val="12"/>
        <color theme="1"/>
        <rFont val="Times New Roman"/>
        <family val="1"/>
      </rPr>
      <t>greater than</t>
    </r>
    <r>
      <rPr>
        <sz val="12"/>
        <color theme="1"/>
        <rFont val="Times New Roman"/>
        <family val="1"/>
      </rPr>
      <t xml:space="preserve"> the number in F1.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</si>
  <si>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i/>
        <sz val="12"/>
        <color theme="1"/>
        <rFont val="Times New Roman"/>
        <family val="1"/>
      </rPr>
      <t>Hint:</t>
    </r>
    <r>
      <rPr>
        <sz val="12"/>
        <color theme="1"/>
        <rFont val="Times New Roman"/>
        <family val="1"/>
      </rPr>
      <t xml:space="preserve"> =COUNTIF(Range, "&gt;" &amp; Cell_Reference)</t>
    </r>
  </si>
  <si>
    <r>
      <t>Data Profiling:</t>
    </r>
    <r>
      <rPr>
        <sz val="12"/>
        <color theme="1"/>
        <rFont val="Times New Roman"/>
        <family val="1"/>
      </rPr>
      <t xml:space="preserve"> At the bottom or side of your table, use formulas to find:</t>
    </r>
  </si>
  <si>
    <t>Dynamic Criteria (The &amp; Operator):</t>
  </si>
  <si>
    <t>Total Rows</t>
  </si>
  <si>
    <t>Items with Stock Data</t>
  </si>
  <si>
    <t>Missing Stock Data</t>
  </si>
  <si>
    <t>A-102</t>
  </si>
  <si>
    <t>B-201</t>
  </si>
  <si>
    <t>B-202</t>
  </si>
  <si>
    <t>C-301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</si>
</sst>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color theme="1"/>
      <name val="Courier New"/>
      <family val="3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indent="2"/>
    </xf>
    <xf numFmtId="9" fontId="0" fillId="0" borderId="1" xfId="1" applyFont="1" applyBorder="1"/>
    <xf numFmtId="0" fontId="3" fillId="0" borderId="1" xfId="0" applyFont="1" applyBorder="1"/>
    <xf numFmtId="0" fontId="2" fillId="0" borderId="1" xfId="0" applyFont="1" applyBorder="1"/>
    <xf numFmtId="0" fontId="3" fillId="0" borderId="2" xfId="0" applyFont="1" applyBorder="1" applyAlignment="1">
      <alignment vertical="center" wrapText="1"/>
    </xf>
    <xf numFmtId="0" fontId="0" fillId="0" borderId="3" xfId="0" applyBorder="1"/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6" xfId="0" applyFont="1" applyBorder="1"/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0" fillId="0" borderId="9" xfId="0" applyBorder="1"/>
    <xf numFmtId="0" fontId="0" fillId="0" borderId="1" xfId="0" applyBorder="1" applyAlignment="1">
      <alignment horizontal="left"/>
    </xf>
    <xf numFmtId="0" fontId="4" fillId="0" borderId="1" xfId="0" applyFont="1" applyBorder="1"/>
    <xf numFmtId="0" fontId="4" fillId="0" borderId="0" xfId="0" applyFont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0" fillId="2" borderId="0" xfId="0" applyFill="1"/>
    <xf numFmtId="0" fontId="3" fillId="2" borderId="0" xfId="0" applyFont="1" applyFill="1" applyAlignment="1">
      <alignment horizontal="left" vertical="center" indent="2"/>
    </xf>
    <xf numFmtId="0" fontId="5" fillId="2" borderId="0" xfId="0" applyFont="1" applyFill="1" applyAlignment="1">
      <alignment horizontal="left" vertical="center" indent="2"/>
    </xf>
    <xf numFmtId="0" fontId="6" fillId="2" borderId="0" xfId="0" applyFont="1" applyFill="1" applyAlignment="1">
      <alignment horizontal="left" vertical="center" indent="12"/>
    </xf>
    <xf numFmtId="0" fontId="0" fillId="3" borderId="1" xfId="0" applyFill="1" applyBorder="1"/>
    <xf numFmtId="0" fontId="3" fillId="0" borderId="1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10"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8DAB8E80-BB50-492C-A64F-6FCD1CE9E1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1C8503-9531-4CDF-BB22-A9B30929BFD7}" name="Table1" displayName="Table1" ref="F1:K7" totalsRowShown="0" headerRowDxfId="9" headerRowBorderDxfId="7" tableBorderDxfId="8" totalsRowBorderDxfId="6">
  <autoFilter ref="F1:K7" xr:uid="{871C8503-9531-4CDF-BB22-A9B30929BFD7}"/>
  <tableColumns count="6">
    <tableColumn id="1" xr3:uid="{E5E9A711-78CC-4F2F-B0E9-CECD927D7DBC}" name="Sales Rep" dataDxfId="5"/>
    <tableColumn id="2" xr3:uid="{D72CB178-8408-4DE8-8D87-9270410DC38B}" name="Region" dataDxfId="4"/>
    <tableColumn id="3" xr3:uid="{026778D4-A468-4C7E-9AD0-7AFECE904DE6}" name="Sales Amount" dataDxfId="3"/>
    <tableColumn id="4" xr3:uid="{B6B237E7-6B96-4439-B848-DBF95F2B549C}" name="Standard Commission" dataDxfId="2">
      <calculatedColumnFormula>Table1[[#This Row],[Sales Amount]]*$J$12</calculatedColumnFormula>
    </tableColumn>
    <tableColumn id="5" xr3:uid="{63D5D63B-1458-4123-A7BA-826FD4F54A76}" name="Potentail Bonus" dataDxfId="1">
      <calculatedColumnFormula>Table1[[#This Row],[Sales Amount]]*$J$13</calculatedColumnFormula>
    </tableColumn>
    <tableColumn id="6" xr3:uid="{6C46674B-25F9-4DA7-819F-F80459F1249B}" name="Total Payout" dataDxfId="0">
      <calculatedColumnFormula>SUM(I2:J2)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49C4-408E-4FBE-B524-3B9400B4E7DE}">
  <dimension ref="F1:K17"/>
  <sheetViews>
    <sheetView topLeftCell="F1" workbookViewId="0">
      <selection activeCell="I23" sqref="I23"/>
    </sheetView>
  </sheetViews>
  <sheetFormatPr defaultRowHeight="14.4" x14ac:dyDescent="0.3"/>
  <cols>
    <col min="6" max="6" width="12.109375" customWidth="1"/>
    <col min="7" max="7" width="9.44140625" customWidth="1"/>
    <col min="8" max="8" width="15.6640625" customWidth="1"/>
    <col min="9" max="9" width="21.33203125" customWidth="1"/>
    <col min="10" max="10" width="16.77734375" customWidth="1"/>
    <col min="11" max="11" width="15.44140625" bestFit="1" customWidth="1"/>
  </cols>
  <sheetData>
    <row r="1" spans="6:11" ht="31.2" x14ac:dyDescent="0.3">
      <c r="F1" s="10" t="s">
        <v>0</v>
      </c>
      <c r="G1" s="11" t="s">
        <v>1</v>
      </c>
      <c r="H1" s="11" t="s">
        <v>2</v>
      </c>
      <c r="I1" s="12" t="s">
        <v>58</v>
      </c>
      <c r="J1" s="11" t="s">
        <v>59</v>
      </c>
      <c r="K1" s="11" t="s">
        <v>60</v>
      </c>
    </row>
    <row r="2" spans="6:11" ht="15.6" x14ac:dyDescent="0.3">
      <c r="F2" s="8" t="s">
        <v>3</v>
      </c>
      <c r="G2" s="3" t="s">
        <v>4</v>
      </c>
      <c r="H2" s="3">
        <v>12000</v>
      </c>
      <c r="I2" s="9">
        <f>Table1[[#This Row],[Sales Amount]]*$J$12</f>
        <v>600</v>
      </c>
      <c r="J2">
        <f>Table1[[#This Row],[Sales Amount]]*$J$13</f>
        <v>1200</v>
      </c>
      <c r="K2">
        <f>SUM(I2:J2)</f>
        <v>1800</v>
      </c>
    </row>
    <row r="3" spans="6:11" ht="15.6" x14ac:dyDescent="0.3">
      <c r="F3" s="8" t="s">
        <v>5</v>
      </c>
      <c r="G3" s="3" t="s">
        <v>6</v>
      </c>
      <c r="H3" s="3">
        <v>8500</v>
      </c>
      <c r="I3" s="9">
        <f>Table1[[#This Row],[Sales Amount]]*$J$12</f>
        <v>425</v>
      </c>
      <c r="J3">
        <f>Table1[[#This Row],[Sales Amount]]*$J$13</f>
        <v>850</v>
      </c>
      <c r="K3">
        <f t="shared" ref="K2:K7" si="0">SUM(I3:J3)</f>
        <v>1275</v>
      </c>
    </row>
    <row r="4" spans="6:11" ht="15.6" x14ac:dyDescent="0.3">
      <c r="F4" s="8" t="s">
        <v>7</v>
      </c>
      <c r="G4" s="3" t="s">
        <v>8</v>
      </c>
      <c r="H4" s="3">
        <v>15400</v>
      </c>
      <c r="I4" s="9">
        <f>Table1[[#This Row],[Sales Amount]]*$J$12</f>
        <v>770</v>
      </c>
      <c r="J4">
        <f>Table1[[#This Row],[Sales Amount]]*$J$13</f>
        <v>1540</v>
      </c>
      <c r="K4">
        <f t="shared" si="0"/>
        <v>2310</v>
      </c>
    </row>
    <row r="5" spans="6:11" ht="15.6" x14ac:dyDescent="0.3">
      <c r="F5" s="8" t="s">
        <v>9</v>
      </c>
      <c r="G5" s="3" t="s">
        <v>4</v>
      </c>
      <c r="H5" s="3">
        <v>4200</v>
      </c>
      <c r="I5" s="9">
        <f>Table1[[#This Row],[Sales Amount]]*$J$12</f>
        <v>210</v>
      </c>
      <c r="J5">
        <f>Table1[[#This Row],[Sales Amount]]*$J$13</f>
        <v>420</v>
      </c>
      <c r="K5">
        <f t="shared" si="0"/>
        <v>630</v>
      </c>
    </row>
    <row r="6" spans="6:11" ht="15.6" x14ac:dyDescent="0.3">
      <c r="F6" s="8" t="s">
        <v>10</v>
      </c>
      <c r="G6" s="3" t="s">
        <v>11</v>
      </c>
      <c r="H6" s="3">
        <v>9800</v>
      </c>
      <c r="I6" s="9">
        <f>Table1[[#This Row],[Sales Amount]]*$J$12</f>
        <v>490</v>
      </c>
      <c r="J6">
        <f>Table1[[#This Row],[Sales Amount]]*$J$13</f>
        <v>980</v>
      </c>
      <c r="K6">
        <f t="shared" si="0"/>
        <v>1470</v>
      </c>
    </row>
    <row r="7" spans="6:11" ht="15.6" x14ac:dyDescent="0.3">
      <c r="F7" s="13" t="s">
        <v>12</v>
      </c>
      <c r="G7" s="14" t="s">
        <v>6</v>
      </c>
      <c r="H7" s="14">
        <v>11200</v>
      </c>
      <c r="I7" s="15">
        <f>Table1[[#This Row],[Sales Amount]]*$J$12</f>
        <v>560</v>
      </c>
      <c r="J7">
        <f>Table1[[#This Row],[Sales Amount]]*$J$13</f>
        <v>1120</v>
      </c>
      <c r="K7">
        <f t="shared" si="0"/>
        <v>1680</v>
      </c>
    </row>
    <row r="11" spans="6:11" ht="15.6" x14ac:dyDescent="0.3">
      <c r="I11" s="4"/>
    </row>
    <row r="12" spans="6:11" x14ac:dyDescent="0.3">
      <c r="I12" s="1" t="s">
        <v>56</v>
      </c>
      <c r="J12" s="5">
        <v>0.05</v>
      </c>
    </row>
    <row r="13" spans="6:11" ht="15.6" x14ac:dyDescent="0.3">
      <c r="I13" s="6" t="s">
        <v>57</v>
      </c>
      <c r="J13" s="5">
        <v>0.1</v>
      </c>
    </row>
    <row r="15" spans="6:11" x14ac:dyDescent="0.3">
      <c r="F15" s="1">
        <v>1</v>
      </c>
      <c r="G15" s="16" t="s">
        <v>61</v>
      </c>
      <c r="H15" s="16"/>
      <c r="I15" s="16"/>
      <c r="J15" s="16"/>
    </row>
    <row r="16" spans="6:11" x14ac:dyDescent="0.3">
      <c r="F16" s="1">
        <v>2</v>
      </c>
      <c r="G16" s="16" t="s">
        <v>62</v>
      </c>
      <c r="H16" s="16"/>
      <c r="I16" s="16"/>
      <c r="J16" s="16"/>
    </row>
    <row r="17" spans="6:10" x14ac:dyDescent="0.3">
      <c r="F17" s="1">
        <v>3</v>
      </c>
      <c r="G17" s="16" t="s">
        <v>60</v>
      </c>
      <c r="H17" s="16"/>
      <c r="I17" s="16"/>
      <c r="J17" s="16"/>
    </row>
  </sheetData>
  <mergeCells count="3">
    <mergeCell ref="G15:J15"/>
    <mergeCell ref="G16:J16"/>
    <mergeCell ref="G17:J1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9ADF-3CAE-4FA6-8289-DC131FBF2188}">
  <dimension ref="A1:I20"/>
  <sheetViews>
    <sheetView workbookViewId="0">
      <selection activeCell="E22" sqref="E22"/>
    </sheetView>
  </sheetViews>
  <sheetFormatPr defaultRowHeight="14.4" x14ac:dyDescent="0.3"/>
  <cols>
    <col min="1" max="1" width="13.21875" bestFit="1" customWidth="1"/>
    <col min="2" max="2" width="7.5546875" bestFit="1" customWidth="1"/>
    <col min="3" max="3" width="12.21875" bestFit="1" customWidth="1"/>
    <col min="4" max="4" width="12.33203125" bestFit="1" customWidth="1"/>
    <col min="5" max="5" width="11.21875" bestFit="1" customWidth="1"/>
    <col min="6" max="6" width="27" bestFit="1" customWidth="1"/>
    <col min="7" max="7" width="24" bestFit="1" customWidth="1"/>
    <col min="8" max="8" width="23.21875" bestFit="1" customWidth="1"/>
    <col min="9" max="9" width="17.44140625" bestFit="1" customWidth="1"/>
  </cols>
  <sheetData>
    <row r="1" spans="1:9" ht="15.6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17" t="s">
        <v>63</v>
      </c>
      <c r="G1" s="7" t="s">
        <v>64</v>
      </c>
      <c r="H1" s="17" t="s">
        <v>66</v>
      </c>
      <c r="I1" s="17" t="s">
        <v>65</v>
      </c>
    </row>
    <row r="2" spans="1:9" ht="15.6" x14ac:dyDescent="0.3">
      <c r="A2" s="3" t="s">
        <v>18</v>
      </c>
      <c r="B2" s="3" t="s">
        <v>19</v>
      </c>
      <c r="C2" s="3" t="s">
        <v>20</v>
      </c>
      <c r="D2" s="3">
        <v>5</v>
      </c>
      <c r="E2" s="3">
        <v>4</v>
      </c>
      <c r="F2" s="1" t="str">
        <f>IF(D2=5,"Top Performer",IF(D2=4,"Meets Expectation",IF(D2=3,"Meets Expectation",IF(D2&lt;3,"Improvement Plan",0))))</f>
        <v>Top Performer</v>
      </c>
      <c r="G2" s="1" t="str" cm="1">
        <f t="array" ref="G2">_xlfn.IFS(D2=5,"Top Performer",D2=4,"Meets Expectations",D2=3,"Meets Expectations",D2&lt;3,"Improvement Plan")</f>
        <v>Top Performer</v>
      </c>
      <c r="H2" s="1" t="b">
        <f>AND(D2&gt;=4,E2&gt;2)</f>
        <v>1</v>
      </c>
      <c r="I2" s="1" t="str">
        <f>IF(OR(D2&lt;3,C2="Intern"),"Review","Safe")</f>
        <v>Safe</v>
      </c>
    </row>
    <row r="3" spans="1:9" ht="15.6" x14ac:dyDescent="0.3">
      <c r="A3" s="3" t="s">
        <v>21</v>
      </c>
      <c r="B3" s="3" t="s">
        <v>22</v>
      </c>
      <c r="C3" s="3" t="s">
        <v>23</v>
      </c>
      <c r="D3" s="3">
        <v>3</v>
      </c>
      <c r="E3" s="3">
        <v>5</v>
      </c>
      <c r="F3" s="1" t="str">
        <f>IF(D3=5,"Top Performer",IF(D3=4,"Meets Expectation",IF(D3=3,"Meets Expectation",IF(D3&lt;3,"Improvement Plan",0))))</f>
        <v>Meets Expectation</v>
      </c>
      <c r="G3" s="1" t="str" cm="1">
        <f t="array" ref="G3">_xlfn.IFS(D3=5,"Top Performer",D3=4,"Meets Expectations",D3=3,"Meets Expectations",D3&lt;3,"Improvement Plan")</f>
        <v>Meets Expectations</v>
      </c>
      <c r="H3" s="1" t="b">
        <f t="shared" ref="H3:H8" si="0">AND(D3&gt;=4,E3&gt;2)</f>
        <v>0</v>
      </c>
      <c r="I3" s="1" t="str">
        <f t="shared" ref="I3:I8" si="1">IF(OR(D3&lt;3,C3="Intern"),"Review","Safe")</f>
        <v>Safe</v>
      </c>
    </row>
    <row r="4" spans="1:9" ht="15.6" x14ac:dyDescent="0.3">
      <c r="A4" s="3" t="s">
        <v>24</v>
      </c>
      <c r="B4" s="3" t="s">
        <v>25</v>
      </c>
      <c r="C4" s="3" t="s">
        <v>26</v>
      </c>
      <c r="D4" s="3">
        <v>4</v>
      </c>
      <c r="E4" s="3">
        <v>0.5</v>
      </c>
      <c r="F4" s="1" t="str">
        <f t="shared" ref="F4:F8" si="2">IF(D4=5,"Top Performer",IF(D4=4,"Meets Expectation",IF(D4=3,"Meets Expectation",IF(D4&lt;3,"Improvement Plan",0))))</f>
        <v>Meets Expectation</v>
      </c>
      <c r="G4" s="1" t="str" cm="1">
        <f t="array" ref="G4">_xlfn.IFS(D4=5,"Top Performer",D4=4,"Meets Expectations",D4=3,"Meets Expectations",D4&lt;3,"Improvement Plan")</f>
        <v>Meets Expectations</v>
      </c>
      <c r="H4" s="1" t="b">
        <f t="shared" si="0"/>
        <v>0</v>
      </c>
      <c r="I4" s="1" t="str">
        <f t="shared" si="1"/>
        <v>Review</v>
      </c>
    </row>
    <row r="5" spans="1:9" ht="15.6" x14ac:dyDescent="0.3">
      <c r="A5" s="3" t="s">
        <v>27</v>
      </c>
      <c r="B5" s="3" t="s">
        <v>28</v>
      </c>
      <c r="C5" s="3" t="s">
        <v>20</v>
      </c>
      <c r="D5" s="3">
        <v>2</v>
      </c>
      <c r="E5" s="3">
        <v>2</v>
      </c>
      <c r="F5" s="1" t="str">
        <f t="shared" si="2"/>
        <v>Improvement Plan</v>
      </c>
      <c r="G5" s="1" t="str" cm="1">
        <f t="array" ref="G5">_xlfn.IFS(D5=5,"Top Performer",D5=4,"Meets Expectations",D5=3,"Meets Expectations",D5&lt;3,"Improvement Plan")</f>
        <v>Improvement Plan</v>
      </c>
      <c r="H5" s="1" t="b">
        <f t="shared" si="0"/>
        <v>0</v>
      </c>
      <c r="I5" s="1" t="str">
        <f t="shared" si="1"/>
        <v>Review</v>
      </c>
    </row>
    <row r="6" spans="1:9" ht="15.6" x14ac:dyDescent="0.3">
      <c r="A6" s="3" t="s">
        <v>29</v>
      </c>
      <c r="B6" s="3" t="s">
        <v>30</v>
      </c>
      <c r="C6" s="3" t="s">
        <v>23</v>
      </c>
      <c r="D6" s="3">
        <v>5</v>
      </c>
      <c r="E6" s="3">
        <v>1</v>
      </c>
      <c r="F6" s="1" t="str">
        <f t="shared" si="2"/>
        <v>Top Performer</v>
      </c>
      <c r="G6" s="1" t="str" cm="1">
        <f t="array" ref="G6">_xlfn.IFS(D6=5,"Top Performer",D6=4,"Meets Expectations",D6=3,"Meets Expectations",D6&lt;3,"Improvement Plan")</f>
        <v>Top Performer</v>
      </c>
      <c r="H6" s="1" t="b">
        <f t="shared" si="0"/>
        <v>0</v>
      </c>
      <c r="I6" s="1" t="str">
        <f t="shared" si="1"/>
        <v>Safe</v>
      </c>
    </row>
    <row r="7" spans="1:9" ht="15.6" x14ac:dyDescent="0.3">
      <c r="A7" s="3" t="s">
        <v>31</v>
      </c>
      <c r="B7" s="3" t="s">
        <v>32</v>
      </c>
      <c r="C7" s="3" t="s">
        <v>33</v>
      </c>
      <c r="D7" s="3">
        <v>1</v>
      </c>
      <c r="E7" s="3">
        <v>3</v>
      </c>
      <c r="F7" s="1" t="str">
        <f t="shared" si="2"/>
        <v>Improvement Plan</v>
      </c>
      <c r="G7" s="1" t="str" cm="1">
        <f t="array" ref="G7">_xlfn.IFS(D7=5,"Top Performer",D7=4,"Meets Expectations",D7=3,"Meets Expectations",D7&lt;3,"Improvement Plan")</f>
        <v>Improvement Plan</v>
      </c>
      <c r="H7" s="1" t="b">
        <f t="shared" si="0"/>
        <v>0</v>
      </c>
      <c r="I7" s="1" t="str">
        <f t="shared" si="1"/>
        <v>Review</v>
      </c>
    </row>
    <row r="8" spans="1:9" ht="15.6" x14ac:dyDescent="0.3">
      <c r="A8" s="3" t="s">
        <v>34</v>
      </c>
      <c r="B8" s="3" t="s">
        <v>35</v>
      </c>
      <c r="C8" s="3" t="s">
        <v>26</v>
      </c>
      <c r="D8" s="3">
        <v>3</v>
      </c>
      <c r="E8" s="3">
        <v>0.2</v>
      </c>
      <c r="F8" s="1" t="str">
        <f t="shared" si="2"/>
        <v>Meets Expectation</v>
      </c>
      <c r="G8" s="1" t="str" cm="1">
        <f t="array" ref="G8">_xlfn.IFS(D8=5,"Top Performer",D8=4,"Meets Expectations",D8=3,"Meets Expectations",D8&lt;3,"Improvement Plan")</f>
        <v>Meets Expectations</v>
      </c>
      <c r="H8" s="1" t="b">
        <f t="shared" si="0"/>
        <v>0</v>
      </c>
      <c r="I8" s="1" t="str">
        <f t="shared" si="1"/>
        <v>Review</v>
      </c>
    </row>
    <row r="10" spans="1:9" ht="15.6" x14ac:dyDescent="0.3">
      <c r="A10" s="19" t="s">
        <v>67</v>
      </c>
      <c r="B10" s="20"/>
      <c r="C10" s="20"/>
      <c r="D10" s="20"/>
      <c r="E10" s="20"/>
      <c r="F10" s="20"/>
      <c r="G10" s="20"/>
    </row>
    <row r="11" spans="1:9" ht="15.6" customHeight="1" x14ac:dyDescent="0.3">
      <c r="A11" s="21" t="s">
        <v>68</v>
      </c>
      <c r="B11" s="20"/>
      <c r="C11" s="20"/>
      <c r="D11" s="20"/>
      <c r="E11" s="20"/>
      <c r="F11" s="20"/>
      <c r="G11" s="20"/>
    </row>
    <row r="12" spans="1:9" ht="15.6" customHeight="1" x14ac:dyDescent="0.3">
      <c r="A12" s="21" t="s">
        <v>69</v>
      </c>
      <c r="B12" s="20"/>
      <c r="C12" s="20"/>
      <c r="D12" s="20"/>
      <c r="E12" s="20"/>
      <c r="F12" s="20"/>
      <c r="G12" s="20"/>
    </row>
    <row r="13" spans="1:9" ht="15.6" customHeight="1" x14ac:dyDescent="0.3">
      <c r="A13" s="21" t="s">
        <v>70</v>
      </c>
      <c r="B13" s="20"/>
      <c r="C13" s="20"/>
      <c r="D13" s="20"/>
      <c r="E13" s="20"/>
      <c r="F13" s="20"/>
      <c r="G13" s="20"/>
    </row>
    <row r="14" spans="1:9" ht="15.6" customHeight="1" x14ac:dyDescent="0.3">
      <c r="A14" s="22" t="s">
        <v>71</v>
      </c>
      <c r="B14" s="20"/>
      <c r="C14" s="20"/>
      <c r="D14" s="20"/>
      <c r="E14" s="20"/>
      <c r="F14" s="20"/>
      <c r="G14" s="20"/>
    </row>
    <row r="15" spans="1:9" ht="15.6" customHeight="1" x14ac:dyDescent="0.3">
      <c r="A15" s="19" t="s">
        <v>72</v>
      </c>
      <c r="B15" s="20"/>
      <c r="C15" s="20"/>
      <c r="D15" s="20"/>
      <c r="E15" s="20"/>
      <c r="F15" s="20"/>
      <c r="G15" s="20"/>
    </row>
    <row r="16" spans="1:9" ht="15.6" customHeight="1" x14ac:dyDescent="0.3">
      <c r="A16" s="21" t="s">
        <v>73</v>
      </c>
      <c r="B16" s="20"/>
      <c r="C16" s="20"/>
      <c r="D16" s="20"/>
      <c r="E16" s="20"/>
      <c r="F16" s="20"/>
      <c r="G16" s="20"/>
    </row>
    <row r="17" spans="1:7" ht="15.6" customHeight="1" x14ac:dyDescent="0.3">
      <c r="A17" s="21" t="s">
        <v>74</v>
      </c>
      <c r="B17" s="20"/>
      <c r="C17" s="20"/>
      <c r="D17" s="20"/>
      <c r="E17" s="20"/>
      <c r="F17" s="20"/>
      <c r="G17" s="20"/>
    </row>
    <row r="18" spans="1:7" ht="15.6" customHeight="1" x14ac:dyDescent="0.3">
      <c r="A18" s="19" t="s">
        <v>75</v>
      </c>
      <c r="B18" s="20"/>
      <c r="C18" s="20"/>
      <c r="D18" s="20"/>
      <c r="E18" s="20"/>
      <c r="F18" s="20"/>
      <c r="G18" s="20"/>
    </row>
    <row r="19" spans="1:7" ht="15.6" customHeight="1" x14ac:dyDescent="0.3">
      <c r="A19" s="21" t="s">
        <v>76</v>
      </c>
      <c r="B19" s="20"/>
      <c r="C19" s="20"/>
      <c r="D19" s="20"/>
      <c r="E19" s="20"/>
      <c r="F19" s="20"/>
      <c r="G19" s="20"/>
    </row>
    <row r="20" spans="1:7" ht="15.6" customHeight="1" x14ac:dyDescent="0.3">
      <c r="A20" s="21" t="s">
        <v>77</v>
      </c>
      <c r="B20" s="20"/>
      <c r="C20" s="20"/>
      <c r="D20" s="20"/>
      <c r="E20" s="20"/>
      <c r="F20" s="20"/>
      <c r="G2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D970-9099-460A-A93A-EBC87D029E27}">
  <dimension ref="A1:I19"/>
  <sheetViews>
    <sheetView tabSelected="1" workbookViewId="0">
      <selection activeCell="G6" sqref="G5:G6"/>
    </sheetView>
  </sheetViews>
  <sheetFormatPr defaultRowHeight="14.4" x14ac:dyDescent="0.3"/>
  <cols>
    <col min="1" max="1" width="7.21875" bestFit="1" customWidth="1"/>
    <col min="2" max="2" width="16" bestFit="1" customWidth="1"/>
    <col min="3" max="3" width="11.5546875" bestFit="1" customWidth="1"/>
    <col min="4" max="4" width="19" customWidth="1"/>
    <col min="6" max="6" width="9.5546875" bestFit="1" customWidth="1"/>
    <col min="7" max="7" width="18.21875" bestFit="1" customWidth="1"/>
    <col min="8" max="8" width="16" bestFit="1" customWidth="1"/>
  </cols>
  <sheetData>
    <row r="1" spans="1:9" ht="15.6" x14ac:dyDescent="0.3">
      <c r="A1" s="2" t="s">
        <v>36</v>
      </c>
      <c r="B1" s="2" t="s">
        <v>37</v>
      </c>
      <c r="C1" s="2" t="s">
        <v>38</v>
      </c>
      <c r="D1" s="2" t="s">
        <v>39</v>
      </c>
    </row>
    <row r="2" spans="1:9" ht="15.6" x14ac:dyDescent="0.3">
      <c r="A2" s="25" t="s">
        <v>40</v>
      </c>
      <c r="B2" s="3" t="s">
        <v>41</v>
      </c>
      <c r="C2" s="3" t="s">
        <v>42</v>
      </c>
      <c r="D2" s="3">
        <v>150</v>
      </c>
    </row>
    <row r="3" spans="1:9" ht="15.6" x14ac:dyDescent="0.3">
      <c r="A3" s="25" t="s">
        <v>89</v>
      </c>
      <c r="B3" s="3" t="s">
        <v>43</v>
      </c>
      <c r="C3" s="3" t="s">
        <v>42</v>
      </c>
      <c r="D3" s="3">
        <v>45</v>
      </c>
    </row>
    <row r="4" spans="1:9" ht="15.6" x14ac:dyDescent="0.3">
      <c r="A4" s="25" t="s">
        <v>90</v>
      </c>
      <c r="B4" s="3" t="s">
        <v>44</v>
      </c>
      <c r="C4" s="3" t="s">
        <v>45</v>
      </c>
      <c r="D4" s="3"/>
    </row>
    <row r="5" spans="1:9" ht="15.6" x14ac:dyDescent="0.3">
      <c r="A5" s="25" t="s">
        <v>91</v>
      </c>
      <c r="B5" s="3" t="s">
        <v>46</v>
      </c>
      <c r="C5" s="3" t="s">
        <v>45</v>
      </c>
      <c r="D5" s="3">
        <v>12</v>
      </c>
    </row>
    <row r="6" spans="1:9" ht="15.6" x14ac:dyDescent="0.3">
      <c r="A6" s="25" t="s">
        <v>92</v>
      </c>
      <c r="B6" s="3" t="s">
        <v>47</v>
      </c>
      <c r="C6" s="3" t="s">
        <v>48</v>
      </c>
      <c r="D6" s="3" t="s">
        <v>49</v>
      </c>
    </row>
    <row r="7" spans="1:9" ht="15.6" x14ac:dyDescent="0.3">
      <c r="A7" s="25" t="s">
        <v>50</v>
      </c>
      <c r="B7" s="3" t="s">
        <v>51</v>
      </c>
      <c r="C7" s="3" t="s">
        <v>48</v>
      </c>
      <c r="D7" s="3">
        <v>200</v>
      </c>
    </row>
    <row r="8" spans="1:9" ht="15.6" x14ac:dyDescent="0.3">
      <c r="A8" s="25" t="s">
        <v>52</v>
      </c>
      <c r="B8" s="3" t="s">
        <v>53</v>
      </c>
      <c r="C8" s="3" t="s">
        <v>42</v>
      </c>
      <c r="D8" s="3">
        <v>8</v>
      </c>
      <c r="F8" s="24" t="s">
        <v>86</v>
      </c>
      <c r="G8" s="24" t="s">
        <v>87</v>
      </c>
      <c r="H8" s="24" t="s">
        <v>88</v>
      </c>
    </row>
    <row r="9" spans="1:9" ht="15.6" x14ac:dyDescent="0.3">
      <c r="A9" s="25" t="s">
        <v>54</v>
      </c>
      <c r="B9" s="3" t="s">
        <v>55</v>
      </c>
      <c r="C9" s="3" t="s">
        <v>45</v>
      </c>
      <c r="D9" s="3"/>
      <c r="F9" s="1">
        <f>COUNTA(B2:B9)</f>
        <v>8</v>
      </c>
      <c r="G9" s="1">
        <f>COUNT(D2:D9)</f>
        <v>5</v>
      </c>
      <c r="H9" s="1">
        <f>COUNTBLANK(D2:D9)</f>
        <v>2</v>
      </c>
    </row>
    <row r="11" spans="1:9" ht="15.6" x14ac:dyDescent="0.3">
      <c r="A11" s="18"/>
    </row>
    <row r="12" spans="1:9" ht="15.6" x14ac:dyDescent="0.3">
      <c r="A12" s="19" t="s">
        <v>84</v>
      </c>
      <c r="B12" s="20"/>
      <c r="C12" s="20"/>
      <c r="D12" s="20"/>
      <c r="E12" s="20"/>
      <c r="F12" s="20"/>
      <c r="G12" s="20"/>
      <c r="H12" s="20"/>
      <c r="I12" s="20"/>
    </row>
    <row r="13" spans="1:9" ht="15.6" x14ac:dyDescent="0.3">
      <c r="A13" s="23" t="s">
        <v>78</v>
      </c>
      <c r="B13" s="20"/>
      <c r="C13" s="20"/>
      <c r="D13" s="20"/>
      <c r="E13" s="20"/>
      <c r="F13" s="20"/>
      <c r="G13" s="20"/>
      <c r="H13" s="20"/>
      <c r="I13" s="20"/>
    </row>
    <row r="14" spans="1:9" ht="15.6" x14ac:dyDescent="0.3">
      <c r="A14" s="23" t="s">
        <v>79</v>
      </c>
      <c r="B14" s="20"/>
      <c r="C14" s="20"/>
      <c r="D14" s="20"/>
      <c r="E14" s="20"/>
      <c r="F14" s="20"/>
      <c r="G14" s="20"/>
      <c r="H14" s="20"/>
      <c r="I14" s="20"/>
    </row>
    <row r="15" spans="1:9" ht="15.6" x14ac:dyDescent="0.3">
      <c r="A15" s="23" t="s">
        <v>80</v>
      </c>
      <c r="B15" s="20"/>
      <c r="C15" s="20"/>
      <c r="D15" s="20"/>
      <c r="E15" s="20"/>
      <c r="F15" s="20"/>
      <c r="G15" s="20"/>
      <c r="H15" s="20"/>
      <c r="I15" s="20"/>
    </row>
    <row r="16" spans="1:9" ht="15.6" x14ac:dyDescent="0.3">
      <c r="A16" s="19" t="s">
        <v>85</v>
      </c>
      <c r="B16" s="20"/>
      <c r="C16" s="20"/>
      <c r="D16" s="20"/>
      <c r="E16" s="20"/>
      <c r="F16" s="20"/>
      <c r="G16" s="20"/>
      <c r="H16" s="20"/>
      <c r="I16" s="20"/>
    </row>
    <row r="17" spans="1:9" ht="15.6" x14ac:dyDescent="0.3">
      <c r="A17" s="23" t="s">
        <v>81</v>
      </c>
      <c r="B17" s="20"/>
      <c r="C17" s="20"/>
      <c r="D17" s="20"/>
      <c r="E17" s="20"/>
      <c r="F17" s="20"/>
      <c r="G17" s="20"/>
      <c r="H17" s="20"/>
      <c r="I17" s="20"/>
    </row>
    <row r="18" spans="1:9" ht="15.6" x14ac:dyDescent="0.3">
      <c r="A18" s="23" t="s">
        <v>82</v>
      </c>
      <c r="B18" s="20"/>
      <c r="C18" s="20"/>
      <c r="D18" s="20"/>
      <c r="E18" s="20"/>
      <c r="F18" s="20"/>
      <c r="G18" s="20"/>
      <c r="H18" s="20"/>
      <c r="I18" s="20"/>
    </row>
    <row r="19" spans="1:9" ht="15.6" x14ac:dyDescent="0.3">
      <c r="A19" s="23" t="s">
        <v>83</v>
      </c>
      <c r="B19" s="20"/>
      <c r="C19" s="20"/>
      <c r="D19" s="20"/>
      <c r="E19" s="20"/>
      <c r="F19" s="20"/>
      <c r="G19" s="20"/>
      <c r="H19" s="20"/>
      <c r="I1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dhanke</dc:creator>
  <cp:lastModifiedBy>omkar dhanke</cp:lastModifiedBy>
  <dcterms:created xsi:type="dcterms:W3CDTF">2025-12-21T11:52:26Z</dcterms:created>
  <dcterms:modified xsi:type="dcterms:W3CDTF">2025-12-21T13:25:54Z</dcterms:modified>
</cp:coreProperties>
</file>