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k\Documents\Data Analitics\Excel\Practice\"/>
    </mc:Choice>
  </mc:AlternateContent>
  <xr:revisionPtr revIDLastSave="0" documentId="13_ncr:1_{14D32277-BEE1-4673-A3C8-09970E292184}" xr6:coauthVersionLast="47" xr6:coauthVersionMax="47" xr10:uidLastSave="{00000000-0000-0000-0000-000000000000}"/>
  <bookViews>
    <workbookView xWindow="-108" yWindow="-108" windowWidth="23256" windowHeight="13176" activeTab="2" xr2:uid="{5F0C6262-F2CA-4180-9EAE-2245EF3EA49B}"/>
  </bookViews>
  <sheets>
    <sheet name="Task 1" sheetId="2" r:id="rId1"/>
    <sheet name="Task 2" sheetId="3" r:id="rId2"/>
    <sheet name="Task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4" l="1"/>
  <c r="C22" i="4"/>
  <c r="C21" i="4"/>
  <c r="D16" i="4"/>
  <c r="D17" i="4"/>
  <c r="D18" i="4"/>
  <c r="D19" i="4"/>
  <c r="D20" i="4"/>
  <c r="D15" i="4"/>
  <c r="D31" i="3"/>
  <c r="D32" i="3"/>
  <c r="D33" i="3"/>
  <c r="D34" i="3"/>
  <c r="D30" i="3"/>
  <c r="D22" i="3"/>
  <c r="D23" i="3"/>
  <c r="D24" i="3"/>
  <c r="D25" i="3"/>
  <c r="D26" i="3"/>
  <c r="E23" i="3"/>
  <c r="E24" i="3"/>
  <c r="E25" i="3"/>
  <c r="E26" i="3"/>
  <c r="E22" i="3"/>
  <c r="E31" i="3"/>
  <c r="E32" i="3"/>
  <c r="E33" i="3"/>
  <c r="F33" i="3" s="1"/>
  <c r="E34" i="3"/>
  <c r="E30" i="3"/>
  <c r="F30" i="3" s="1"/>
  <c r="F34" i="3"/>
  <c r="F31" i="3"/>
  <c r="F32" i="3"/>
  <c r="D15" i="3"/>
  <c r="D16" i="3"/>
  <c r="D17" i="3"/>
  <c r="D18" i="3"/>
  <c r="D14" i="3"/>
  <c r="N20" i="2"/>
  <c r="N21" i="2"/>
  <c r="N22" i="2"/>
  <c r="N23" i="2"/>
  <c r="N19" i="2"/>
  <c r="K20" i="2"/>
  <c r="K21" i="2"/>
  <c r="K22" i="2"/>
  <c r="K23" i="2"/>
  <c r="K19" i="2"/>
  <c r="H20" i="2"/>
  <c r="H21" i="2"/>
  <c r="H22" i="2"/>
  <c r="H23" i="2"/>
  <c r="H19" i="2"/>
  <c r="D19" i="2"/>
  <c r="E19" i="2" s="1"/>
  <c r="D20" i="2"/>
  <c r="E20" i="2" s="1"/>
  <c r="D21" i="2"/>
  <c r="E21" i="2" s="1"/>
  <c r="D22" i="2"/>
  <c r="E22" i="2" s="1"/>
  <c r="D23" i="2"/>
  <c r="E23" i="2" s="1"/>
  <c r="F19" i="2"/>
  <c r="F20" i="2"/>
  <c r="F21" i="2"/>
  <c r="F22" i="2"/>
  <c r="F23" i="2"/>
</calcChain>
</file>

<file path=xl/sharedStrings.xml><?xml version="1.0" encoding="utf-8"?>
<sst xmlns="http://schemas.openxmlformats.org/spreadsheetml/2006/main" count="116" uniqueCount="93">
  <si>
    <t>Task 1: The "Dirty Data" Clean-up (Text Functions)</t>
  </si>
  <si>
    <t>Scenario: A web form collected user data, but the formatting is inconsistent. You need to standardize it.</t>
  </si>
  <si>
    <t>Use Dataset A below.</t>
  </si>
  <si>
    <r>
      <t>1. The Space Issue:</t>
    </r>
    <r>
      <rPr>
        <sz val="12"/>
        <color theme="1"/>
        <rFont val="Times New Roman"/>
        <family val="1"/>
      </rPr>
      <t xml:space="preserve"> In Column B, the names have extra spaces at the start and end.</t>
    </r>
  </si>
  <si>
    <t>Create a "Clean Name" column using =TRIM().</t>
  </si>
  <si>
    <r>
      <t>Check:</t>
    </r>
    <r>
      <rPr>
        <sz val="12"/>
        <color theme="1"/>
        <rFont val="Times New Roman"/>
        <family val="1"/>
      </rPr>
      <t xml:space="preserve"> Use =LEN() on the original cell and the new cell to prove characters were removed.</t>
    </r>
  </si>
  <si>
    <r>
      <t>2. Extracting ID Codes:</t>
    </r>
    <r>
      <rPr>
        <sz val="12"/>
        <color theme="1"/>
        <rFont val="Times New Roman"/>
        <family val="1"/>
      </rPr>
      <t xml:space="preserve"> The "Transaction_String" (Col C) contains the ID, but it's combined with the State (e.g., "ID998-TX").</t>
    </r>
  </si>
  <si>
    <r>
      <t xml:space="preserve">You know the ID is always the </t>
    </r>
    <r>
      <rPr>
        <b/>
        <sz val="12"/>
        <color theme="1"/>
        <rFont val="Times New Roman"/>
        <family val="1"/>
      </rPr>
      <t>first 5 characters</t>
    </r>
    <r>
      <rPr>
        <sz val="12"/>
        <color theme="1"/>
        <rFont val="Times New Roman"/>
        <family val="1"/>
      </rPr>
      <t>.</t>
    </r>
  </si>
  <si>
    <t>Extract just the ID into a new column using =LEFT().</t>
  </si>
  <si>
    <t>3. Extracting State:</t>
  </si>
  <si>
    <r>
      <t xml:space="preserve">You know the State is always the </t>
    </r>
    <r>
      <rPr>
        <b/>
        <sz val="12"/>
        <color theme="1"/>
        <rFont val="Times New Roman"/>
        <family val="1"/>
      </rPr>
      <t>last 2 characters</t>
    </r>
    <r>
      <rPr>
        <sz val="12"/>
        <color theme="1"/>
        <rFont val="Times New Roman"/>
        <family val="1"/>
      </rPr>
      <t>.</t>
    </r>
  </si>
  <si>
    <t>Extract the State into a new column using =RIGHT().</t>
  </si>
  <si>
    <t>4. Challenge (Middle Extraction):</t>
  </si>
  <si>
    <t>The string format is "IDxxx-State". Use =MID() to extract just the three numbers in the middle (starting at character 3, length 3).</t>
  </si>
  <si>
    <t>Task 2: The Inventory Master (XLOOKUP)</t>
  </si>
  <si>
    <t>Scenario: You have a list of sales (Orders), but it only has the Product ID. You need to fetch the Product Name and Price from a separate "Master List" to calculate revenue.</t>
  </si>
  <si>
    <t>Use Dataset B below.</t>
  </si>
  <si>
    <r>
      <t>1. Fetch Product Name:</t>
    </r>
    <r>
      <rPr>
        <sz val="12"/>
        <color theme="1"/>
        <rFont val="Times New Roman"/>
        <family val="1"/>
      </rPr>
      <t xml:space="preserve"> In the </t>
    </r>
    <r>
      <rPr>
        <b/>
        <sz val="12"/>
        <color theme="1"/>
        <rFont val="Times New Roman"/>
        <family val="1"/>
      </rPr>
      <t>Orders Table</t>
    </r>
    <r>
      <rPr>
        <sz val="12"/>
        <color theme="1"/>
        <rFont val="Times New Roman"/>
        <family val="1"/>
      </rPr>
      <t>, create a column for "Product Name".</t>
    </r>
  </si>
  <si>
    <r>
      <t xml:space="preserve">Use =XLOOKUP() to search for the </t>
    </r>
    <r>
      <rPr>
        <i/>
        <sz val="12"/>
        <color theme="1"/>
        <rFont val="Times New Roman"/>
        <family val="1"/>
      </rPr>
      <t>Product ID</t>
    </r>
    <r>
      <rPr>
        <sz val="12"/>
        <color theme="1"/>
        <rFont val="Times New Roman"/>
        <family val="1"/>
      </rPr>
      <t xml:space="preserve"> in the Master List and return the </t>
    </r>
    <r>
      <rPr>
        <i/>
        <sz val="12"/>
        <color theme="1"/>
        <rFont val="Times New Roman"/>
        <family val="1"/>
      </rPr>
      <t>Product Name</t>
    </r>
    <r>
      <rPr>
        <sz val="12"/>
        <color theme="1"/>
        <rFont val="Times New Roman"/>
        <family val="1"/>
      </rPr>
      <t>.</t>
    </r>
  </si>
  <si>
    <r>
      <t>2. Fetch Price:</t>
    </r>
    <r>
      <rPr>
        <sz val="12"/>
        <color theme="1"/>
        <rFont val="Times New Roman"/>
        <family val="1"/>
      </rPr>
      <t xml:space="preserve"> Create a column for "Unit Price".</t>
    </r>
  </si>
  <si>
    <t>Use =XLOOKUP() to find the Price.</t>
  </si>
  <si>
    <r>
      <t>3. Calculate Revenue:</t>
    </r>
    <r>
      <rPr>
        <sz val="12"/>
        <color theme="1"/>
        <rFont val="Times New Roman"/>
        <family val="1"/>
      </rPr>
      <t xml:space="preserve"> Create a "Total Revenue" column (Quantity * Unit Price).</t>
    </r>
  </si>
  <si>
    <t>4. Error Handling (Optional):</t>
  </si>
  <si>
    <t>One of the IDs in the Order list might not exist in the Master list. Observe what error XLOOKUP gives (usually #N/A).</t>
  </si>
  <si>
    <t>Modify your XLOOKUP to handle this using the [if_not_found] argument (e.g., make it say "Not Found").</t>
  </si>
  <si>
    <t>Task 3: HR Tenure &amp; Salary Analysis (Dates &amp; Stats)</t>
  </si>
  <si>
    <t>Scenario: You are analyzing employee retention and compensation.</t>
  </si>
  <si>
    <t>Use Dataset C below.</t>
  </si>
  <si>
    <t>1. Calculate Tenure:</t>
  </si>
  <si>
    <t>Use =DATEDIF(Start_Date, TODAY(), "Y") to calculate how many full years each employee has worked.</t>
  </si>
  <si>
    <r>
      <t>Note:</t>
    </r>
    <r>
      <rPr>
        <sz val="12"/>
        <color theme="1"/>
        <rFont val="Times New Roman"/>
        <family val="1"/>
      </rPr>
      <t xml:space="preserve"> TODAY() gives you the current date automatically.</t>
    </r>
  </si>
  <si>
    <t>2. Salary Analysis (Average vs Median):</t>
  </si>
  <si>
    <r>
      <t xml:space="preserve">At the bottom of the Salary column, calculate the </t>
    </r>
    <r>
      <rPr>
        <b/>
        <sz val="12"/>
        <color theme="1"/>
        <rFont val="Times New Roman"/>
        <family val="1"/>
      </rPr>
      <t>AVERAGE</t>
    </r>
    <r>
      <rPr>
        <sz val="12"/>
        <color theme="1"/>
        <rFont val="Times New Roman"/>
        <family val="1"/>
      </rPr>
      <t>.</t>
    </r>
  </si>
  <si>
    <r>
      <t xml:space="preserve">Below that, calculate the </t>
    </r>
    <r>
      <rPr>
        <b/>
        <sz val="12"/>
        <color theme="1"/>
        <rFont val="Times New Roman"/>
        <family val="1"/>
      </rPr>
      <t>MEDIAN</t>
    </r>
    <r>
      <rPr>
        <sz val="12"/>
        <color theme="1"/>
        <rFont val="Times New Roman"/>
        <family val="1"/>
      </rPr>
      <t>.</t>
    </r>
  </si>
  <si>
    <r>
      <t>Analysis:</t>
    </r>
    <r>
      <rPr>
        <sz val="12"/>
        <color theme="1"/>
        <rFont val="Times New Roman"/>
        <family val="1"/>
      </rPr>
      <t xml:space="preserve"> Notice the difference. Which one is higher? Why? (Look for the outlier employee).</t>
    </r>
  </si>
  <si>
    <t>3. Spread Analysis:</t>
  </si>
  <si>
    <t>Calculate the Standard Deviation using =STDEV.P() to see how much the salaries vary from the average.</t>
  </si>
  <si>
    <t>Raw Name</t>
  </si>
  <si>
    <t>Transaction_String</t>
  </si>
  <si>
    <t>ID101-NY</t>
  </si>
  <si>
    <t>ID102-CA</t>
  </si>
  <si>
    <t>ID103-TX</t>
  </si>
  <si>
    <t>ID104-FL</t>
  </si>
  <si>
    <t>ID105-NY</t>
  </si>
  <si>
    <t>Data Set A</t>
  </si>
  <si>
    <t xml:space="preserve">  John Smith </t>
  </si>
  <si>
    <t xml:space="preserve"> Sarah Connor</t>
  </si>
  <si>
    <t xml:space="preserve">Kyle Reese   </t>
  </si>
  <si>
    <t xml:space="preserve">  Ellen Ripley</t>
  </si>
  <si>
    <t xml:space="preserve">Tony Stark </t>
  </si>
  <si>
    <t>Clean Text</t>
  </si>
  <si>
    <t xml:space="preserve">Len Before Trim </t>
  </si>
  <si>
    <t>Len After Trim</t>
  </si>
  <si>
    <t>1. The Space Issue</t>
  </si>
  <si>
    <t>2. Extracting ID Codes</t>
  </si>
  <si>
    <t>IDCode</t>
  </si>
  <si>
    <t>3. Extracting State</t>
  </si>
  <si>
    <t>State</t>
  </si>
  <si>
    <t>4. Challenge</t>
  </si>
  <si>
    <t xml:space="preserve">Middle </t>
  </si>
  <si>
    <t xml:space="preserve">Order ID </t>
  </si>
  <si>
    <t xml:space="preserve"> Product ID </t>
  </si>
  <si>
    <t xml:space="preserve"> Quantity </t>
  </si>
  <si>
    <t>P-200</t>
  </si>
  <si>
    <t>P-300</t>
  </si>
  <si>
    <t xml:space="preserve">Product ID </t>
  </si>
  <si>
    <t xml:space="preserve"> Product Name </t>
  </si>
  <si>
    <t xml:space="preserve"> Unit Price </t>
  </si>
  <si>
    <t>P-100</t>
  </si>
  <si>
    <t>P-400</t>
  </si>
  <si>
    <t>1. Fetch Product Name</t>
  </si>
  <si>
    <t>Product Name</t>
  </si>
  <si>
    <t>P-999</t>
  </si>
  <si>
    <t>Wireless Mouse</t>
  </si>
  <si>
    <t>Mech Keyboard</t>
  </si>
  <si>
    <t>Monitor 24"</t>
  </si>
  <si>
    <t>USB Hub</t>
  </si>
  <si>
    <t>2. Fetch Price</t>
  </si>
  <si>
    <t xml:space="preserve">Unit Price </t>
  </si>
  <si>
    <t>3. Calculate Revenue</t>
  </si>
  <si>
    <t>Total Revenue</t>
  </si>
  <si>
    <t>Employee</t>
  </si>
  <si>
    <t>Start Date</t>
  </si>
  <si>
    <t>Annual Salary</t>
  </si>
  <si>
    <t>A. Davis</t>
  </si>
  <si>
    <t>B. Miller</t>
  </si>
  <si>
    <t>C. Wilson</t>
  </si>
  <si>
    <t>D. Moore</t>
  </si>
  <si>
    <t>E. Musk</t>
  </si>
  <si>
    <t>F. Taylor</t>
  </si>
  <si>
    <t>Tenure</t>
  </si>
  <si>
    <t>AVG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</si>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</sst>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73" formatCode="[$-14009]yyyy/mm/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vertical="center"/>
    </xf>
    <xf numFmtId="0" fontId="0" fillId="2" borderId="3" xfId="0" applyFill="1" applyBorder="1"/>
    <xf numFmtId="0" fontId="0" fillId="2" borderId="4" xfId="0" applyFill="1" applyBorder="1"/>
    <xf numFmtId="0" fontId="3" fillId="2" borderId="5" xfId="0" applyFont="1" applyFill="1" applyBorder="1" applyAlignment="1">
      <alignment vertical="center"/>
    </xf>
    <xf numFmtId="0" fontId="0" fillId="2" borderId="0" xfId="0" applyFill="1" applyBorder="1"/>
    <xf numFmtId="0" fontId="0" fillId="2" borderId="6" xfId="0" applyFill="1" applyBorder="1"/>
    <xf numFmtId="0" fontId="4" fillId="2" borderId="5" xfId="0" applyFont="1" applyFill="1" applyBorder="1" applyAlignment="1">
      <alignment horizontal="left" vertical="center" indent="1"/>
    </xf>
    <xf numFmtId="0" fontId="3" fillId="2" borderId="5" xfId="0" applyFont="1" applyFill="1" applyBorder="1" applyAlignment="1">
      <alignment horizontal="left" vertical="center" indent="2"/>
    </xf>
    <xf numFmtId="0" fontId="5" fillId="2" borderId="5" xfId="0" applyFont="1" applyFill="1" applyBorder="1" applyAlignment="1">
      <alignment horizontal="left" vertical="center" indent="2"/>
    </xf>
    <xf numFmtId="0" fontId="3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3" fillId="2" borderId="7" xfId="0" applyFont="1" applyFill="1" applyBorder="1" applyAlignment="1">
      <alignment horizontal="left" vertical="center" indent="2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4" fillId="0" borderId="1" xfId="0" applyNumberFormat="1" applyFont="1" applyBorder="1" applyAlignment="1">
      <alignment vertical="center" wrapText="1"/>
    </xf>
    <xf numFmtId="49" fontId="4" fillId="0" borderId="10" xfId="0" applyNumberFormat="1" applyFont="1" applyBorder="1" applyAlignment="1">
      <alignment vertical="center" wrapText="1"/>
    </xf>
    <xf numFmtId="49" fontId="3" fillId="0" borderId="11" xfId="0" applyNumberFormat="1" applyFont="1" applyBorder="1" applyAlignment="1">
      <alignment vertical="center" wrapText="1"/>
    </xf>
    <xf numFmtId="49" fontId="3" fillId="0" borderId="9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12" xfId="0" applyBorder="1" applyAlignment="1">
      <alignment horizontal="left" vertical="center"/>
    </xf>
    <xf numFmtId="0" fontId="0" fillId="0" borderId="12" xfId="0" applyBorder="1"/>
    <xf numFmtId="0" fontId="2" fillId="0" borderId="12" xfId="0" applyFont="1" applyFill="1" applyBorder="1"/>
    <xf numFmtId="0" fontId="2" fillId="0" borderId="0" xfId="0" applyFont="1" applyAlignment="1">
      <alignment horizontal="center"/>
    </xf>
    <xf numFmtId="164" fontId="0" fillId="0" borderId="12" xfId="2" applyNumberFormat="1" applyFont="1" applyBorder="1"/>
    <xf numFmtId="0" fontId="0" fillId="0" borderId="12" xfId="0" applyFill="1" applyBorder="1"/>
    <xf numFmtId="49" fontId="0" fillId="0" borderId="12" xfId="0" applyNumberFormat="1" applyBorder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13" xfId="0" applyFont="1" applyBorder="1" applyAlignment="1">
      <alignment horizontal="center"/>
    </xf>
    <xf numFmtId="164" fontId="0" fillId="0" borderId="12" xfId="0" applyNumberFormat="1" applyBorder="1"/>
    <xf numFmtId="0" fontId="0" fillId="0" borderId="12" xfId="0" applyNumberFormat="1" applyBorder="1"/>
    <xf numFmtId="1" fontId="0" fillId="0" borderId="12" xfId="0" applyNumberFormat="1" applyBorder="1"/>
    <xf numFmtId="164" fontId="0" fillId="0" borderId="12" xfId="1" applyNumberFormat="1" applyFont="1" applyBorder="1"/>
    <xf numFmtId="173" fontId="0" fillId="0" borderId="0" xfId="0" applyNumberFormat="1"/>
    <xf numFmtId="14" fontId="0" fillId="0" borderId="12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ADD8406A-1C7F-4E56-802D-86BD8110DE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A5DB-FDE5-43E5-8D8B-40144CAB9877}">
  <dimension ref="A1:O23"/>
  <sheetViews>
    <sheetView topLeftCell="B14" zoomScale="145" zoomScaleNormal="145" workbookViewId="0">
      <selection activeCell="O21" sqref="O21"/>
    </sheetView>
  </sheetViews>
  <sheetFormatPr defaultRowHeight="14.4" x14ac:dyDescent="0.3"/>
  <cols>
    <col min="1" max="1" width="13.6640625" bestFit="1" customWidth="1"/>
    <col min="2" max="2" width="20.44140625" customWidth="1"/>
    <col min="4" max="4" width="12.21875" bestFit="1" customWidth="1"/>
    <col min="5" max="5" width="14.6640625" bestFit="1" customWidth="1"/>
    <col min="6" max="6" width="13.88671875" bestFit="1" customWidth="1"/>
    <col min="8" max="8" width="11.77734375" customWidth="1"/>
    <col min="9" max="9" width="8.33203125" customWidth="1"/>
  </cols>
  <sheetData>
    <row r="1" spans="1:15" ht="15.6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5" ht="15.6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5" ht="15.6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1:15" ht="15.6" x14ac:dyDescent="0.3">
      <c r="A4" s="8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5" spans="1:15" ht="15.6" x14ac:dyDescent="0.3">
      <c r="A5" s="9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/>
    </row>
    <row r="6" spans="1:15" ht="16.2" customHeight="1" x14ac:dyDescent="0.3">
      <c r="A6" s="10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</row>
    <row r="7" spans="1:15" ht="15.6" x14ac:dyDescent="0.3">
      <c r="A7" s="8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</row>
    <row r="8" spans="1:15" ht="15.6" x14ac:dyDescent="0.3">
      <c r="A8" s="9" t="s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</row>
    <row r="9" spans="1:15" ht="15.6" x14ac:dyDescent="0.3">
      <c r="A9" s="9" t="s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7"/>
    </row>
    <row r="10" spans="1:15" ht="15.6" x14ac:dyDescent="0.3">
      <c r="A10" s="8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</row>
    <row r="11" spans="1:15" ht="15.6" x14ac:dyDescent="0.3">
      <c r="A11" s="9" t="s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</row>
    <row r="12" spans="1:15" ht="15.6" x14ac:dyDescent="0.3">
      <c r="A12" s="9" t="s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</row>
    <row r="13" spans="1:15" ht="15.6" x14ac:dyDescent="0.3">
      <c r="A13" s="8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</row>
    <row r="14" spans="1:15" ht="16.2" thickBot="1" x14ac:dyDescent="0.35">
      <c r="A14" s="14" t="s">
        <v>13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</row>
    <row r="16" spans="1:15" ht="18" x14ac:dyDescent="0.35">
      <c r="A16" s="16" t="s">
        <v>44</v>
      </c>
      <c r="B16" s="16"/>
      <c r="D16" s="15" t="s">
        <v>53</v>
      </c>
      <c r="E16" s="15"/>
      <c r="F16" s="15"/>
      <c r="H16" s="15" t="s">
        <v>54</v>
      </c>
      <c r="I16" s="15"/>
      <c r="J16" s="25"/>
      <c r="K16" s="15" t="s">
        <v>56</v>
      </c>
      <c r="L16" s="15"/>
      <c r="M16" s="1"/>
      <c r="N16" s="15" t="s">
        <v>58</v>
      </c>
      <c r="O16" s="15"/>
    </row>
    <row r="17" spans="1:14" ht="15" thickBot="1" x14ac:dyDescent="0.35"/>
    <row r="18" spans="1:14" ht="16.2" thickBot="1" x14ac:dyDescent="0.35">
      <c r="A18" s="17" t="s">
        <v>37</v>
      </c>
      <c r="B18" s="18" t="s">
        <v>38</v>
      </c>
      <c r="D18" s="21" t="s">
        <v>50</v>
      </c>
      <c r="E18" s="21" t="s">
        <v>52</v>
      </c>
      <c r="F18" s="21" t="s">
        <v>51</v>
      </c>
      <c r="H18" s="24" t="s">
        <v>55</v>
      </c>
      <c r="K18" s="21" t="s">
        <v>57</v>
      </c>
      <c r="N18" s="23" t="s">
        <v>59</v>
      </c>
    </row>
    <row r="19" spans="1:14" ht="16.2" thickBot="1" x14ac:dyDescent="0.35">
      <c r="A19" s="19" t="s">
        <v>45</v>
      </c>
      <c r="B19" s="20" t="s">
        <v>39</v>
      </c>
      <c r="D19" s="22" t="str">
        <f>TRIM(A19)</f>
        <v>John Smith</v>
      </c>
      <c r="E19" s="23">
        <f>LEN(D19)</f>
        <v>10</v>
      </c>
      <c r="F19" s="23">
        <f>LEN(A19)</f>
        <v>13</v>
      </c>
      <c r="H19" s="23" t="str">
        <f>LEFT(B19,5)</f>
        <v>ID101</v>
      </c>
      <c r="K19" s="23" t="str">
        <f>RIGHT(B19,2)</f>
        <v>NY</v>
      </c>
      <c r="N19" s="23" t="str">
        <f>MID(B19,3,3)</f>
        <v>101</v>
      </c>
    </row>
    <row r="20" spans="1:14" ht="16.2" thickBot="1" x14ac:dyDescent="0.35">
      <c r="A20" s="19" t="s">
        <v>46</v>
      </c>
      <c r="B20" s="20" t="s">
        <v>40</v>
      </c>
      <c r="D20" s="22" t="str">
        <f t="shared" ref="D20:D23" si="0">TRIM(A20)</f>
        <v>Sarah Connor</v>
      </c>
      <c r="E20" s="23">
        <f t="shared" ref="E20:E23" si="1">LEN(D20)</f>
        <v>12</v>
      </c>
      <c r="F20" s="23">
        <f t="shared" ref="F20:F23" si="2">LEN(A20)</f>
        <v>13</v>
      </c>
      <c r="H20" s="23" t="str">
        <f>LEFT(B20,5)</f>
        <v>ID102</v>
      </c>
      <c r="K20" s="23" t="str">
        <f t="shared" ref="K20:K23" si="3">RIGHT(B20,2)</f>
        <v>CA</v>
      </c>
      <c r="N20" s="23" t="str">
        <f t="shared" ref="N20:N23" si="4">MID(B20,3,3)</f>
        <v>102</v>
      </c>
    </row>
    <row r="21" spans="1:14" ht="16.2" thickBot="1" x14ac:dyDescent="0.35">
      <c r="A21" s="19" t="s">
        <v>47</v>
      </c>
      <c r="B21" s="20" t="s">
        <v>41</v>
      </c>
      <c r="D21" s="22" t="str">
        <f t="shared" si="0"/>
        <v>Kyle Reese</v>
      </c>
      <c r="E21" s="23">
        <f t="shared" si="1"/>
        <v>10</v>
      </c>
      <c r="F21" s="23">
        <f t="shared" si="2"/>
        <v>13</v>
      </c>
      <c r="H21" s="23" t="str">
        <f>LEFT(B21,5)</f>
        <v>ID103</v>
      </c>
      <c r="K21" s="23" t="str">
        <f t="shared" si="3"/>
        <v>TX</v>
      </c>
      <c r="N21" s="23" t="str">
        <f t="shared" si="4"/>
        <v>103</v>
      </c>
    </row>
    <row r="22" spans="1:14" ht="16.2" thickBot="1" x14ac:dyDescent="0.35">
      <c r="A22" s="19" t="s">
        <v>48</v>
      </c>
      <c r="B22" s="20" t="s">
        <v>42</v>
      </c>
      <c r="D22" s="22" t="str">
        <f t="shared" si="0"/>
        <v>Ellen Ripley</v>
      </c>
      <c r="E22" s="23">
        <f t="shared" si="1"/>
        <v>12</v>
      </c>
      <c r="F22" s="23">
        <f t="shared" si="2"/>
        <v>14</v>
      </c>
      <c r="H22" s="23" t="str">
        <f>LEFT(B22,5)</f>
        <v>ID104</v>
      </c>
      <c r="K22" s="23" t="str">
        <f t="shared" si="3"/>
        <v>FL</v>
      </c>
      <c r="N22" s="23" t="str">
        <f t="shared" si="4"/>
        <v>104</v>
      </c>
    </row>
    <row r="23" spans="1:14" ht="16.2" thickBot="1" x14ac:dyDescent="0.35">
      <c r="A23" s="19" t="s">
        <v>49</v>
      </c>
      <c r="B23" s="20" t="s">
        <v>43</v>
      </c>
      <c r="D23" s="22" t="str">
        <f t="shared" si="0"/>
        <v>Tony Stark</v>
      </c>
      <c r="E23" s="23">
        <f t="shared" si="1"/>
        <v>10</v>
      </c>
      <c r="F23" s="23">
        <f t="shared" si="2"/>
        <v>11</v>
      </c>
      <c r="H23" s="23" t="str">
        <f>LEFT(B23,5)</f>
        <v>ID105</v>
      </c>
      <c r="K23" s="23" t="str">
        <f t="shared" si="3"/>
        <v>NY</v>
      </c>
      <c r="N23" s="23" t="str">
        <f t="shared" si="4"/>
        <v>105</v>
      </c>
    </row>
  </sheetData>
  <mergeCells count="5">
    <mergeCell ref="K16:L16"/>
    <mergeCell ref="N16:O16"/>
    <mergeCell ref="A16:B16"/>
    <mergeCell ref="D16:F16"/>
    <mergeCell ref="H16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466F-9C8C-492E-8123-5BCDE3D82E51}">
  <dimension ref="A1:Q34"/>
  <sheetViews>
    <sheetView topLeftCell="A29" zoomScale="130" zoomScaleNormal="130" workbookViewId="0">
      <selection activeCell="I15" sqref="I15"/>
    </sheetView>
  </sheetViews>
  <sheetFormatPr defaultRowHeight="14.4" x14ac:dyDescent="0.3"/>
  <cols>
    <col min="1" max="1" width="9.77734375" customWidth="1"/>
    <col min="2" max="2" width="10" bestFit="1" customWidth="1"/>
    <col min="3" max="3" width="8.33203125" bestFit="1" customWidth="1"/>
    <col min="4" max="4" width="14.5546875" bestFit="1" customWidth="1"/>
    <col min="5" max="5" width="10" bestFit="1" customWidth="1"/>
    <col min="6" max="6" width="14.77734375" bestFit="1" customWidth="1"/>
    <col min="7" max="7" width="9.6640625" bestFit="1" customWidth="1"/>
    <col min="8" max="8" width="14.5546875" bestFit="1" customWidth="1"/>
    <col min="9" max="9" width="9.44140625" bestFit="1" customWidth="1"/>
  </cols>
  <sheetData>
    <row r="1" spans="1:17" ht="15.6" x14ac:dyDescent="0.3">
      <c r="A1" s="2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6" x14ac:dyDescent="0.3">
      <c r="A2" s="5" t="s">
        <v>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6" x14ac:dyDescent="0.3">
      <c r="A3" s="5" t="s">
        <v>16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spans="1:17" ht="15.6" x14ac:dyDescent="0.3">
      <c r="A4" s="8" t="s">
        <v>17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</row>
    <row r="5" spans="1:17" ht="15.6" x14ac:dyDescent="0.3">
      <c r="A5" s="9" t="s">
        <v>18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  <row r="6" spans="1:17" ht="15.6" x14ac:dyDescent="0.3">
      <c r="A6" s="8" t="s">
        <v>19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  <row r="7" spans="1:17" ht="15.6" x14ac:dyDescent="0.3">
      <c r="A7" s="9" t="s">
        <v>20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spans="1:17" ht="15.6" x14ac:dyDescent="0.3">
      <c r="A8" s="8" t="s">
        <v>21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</row>
    <row r="9" spans="1:17" ht="15.6" x14ac:dyDescent="0.3">
      <c r="A9" s="8" t="s">
        <v>22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</row>
    <row r="10" spans="1:17" ht="15.6" x14ac:dyDescent="0.3">
      <c r="A10" s="9" t="s">
        <v>23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16.2" thickBot="1" x14ac:dyDescent="0.35">
      <c r="A11" s="14" t="s">
        <v>24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</row>
    <row r="12" spans="1:17" x14ac:dyDescent="0.3">
      <c r="A12" s="29" t="s">
        <v>70</v>
      </c>
      <c r="B12" s="25"/>
    </row>
    <row r="13" spans="1:17" x14ac:dyDescent="0.3">
      <c r="A13" s="23" t="s">
        <v>60</v>
      </c>
      <c r="B13" s="23" t="s">
        <v>61</v>
      </c>
      <c r="C13" s="23" t="s">
        <v>62</v>
      </c>
      <c r="D13" s="27" t="s">
        <v>71</v>
      </c>
      <c r="G13" s="23" t="s">
        <v>65</v>
      </c>
      <c r="H13" s="23" t="s">
        <v>66</v>
      </c>
      <c r="I13" s="23" t="s">
        <v>67</v>
      </c>
    </row>
    <row r="14" spans="1:17" x14ac:dyDescent="0.3">
      <c r="A14" s="23">
        <v>5001</v>
      </c>
      <c r="B14" s="28" t="s">
        <v>68</v>
      </c>
      <c r="C14" s="23">
        <v>5</v>
      </c>
      <c r="D14" s="23" t="str">
        <f>_xlfn.XLOOKUP(B14,$G$14:$G$17,$H$14:$H$17,"N/A")</f>
        <v>Wireless Mouse</v>
      </c>
      <c r="G14" s="28" t="s">
        <v>68</v>
      </c>
      <c r="H14" s="23" t="s">
        <v>73</v>
      </c>
      <c r="I14" s="26">
        <v>25</v>
      </c>
    </row>
    <row r="15" spans="1:17" x14ac:dyDescent="0.3">
      <c r="A15" s="23">
        <v>5002</v>
      </c>
      <c r="B15" s="28" t="s">
        <v>63</v>
      </c>
      <c r="C15" s="23">
        <v>2</v>
      </c>
      <c r="D15" s="23" t="str">
        <f t="shared" ref="D15:D18" si="0">_xlfn.XLOOKUP(B15,$G$14:$G$17,$H$14:$H$17,"N/A")</f>
        <v>Mech Keyboard</v>
      </c>
      <c r="G15" s="28" t="s">
        <v>63</v>
      </c>
      <c r="H15" s="23" t="s">
        <v>74</v>
      </c>
      <c r="I15" s="26">
        <v>120</v>
      </c>
    </row>
    <row r="16" spans="1:17" x14ac:dyDescent="0.3">
      <c r="A16" s="23">
        <v>5003</v>
      </c>
      <c r="B16" s="28" t="s">
        <v>68</v>
      </c>
      <c r="C16" s="23">
        <v>1</v>
      </c>
      <c r="D16" s="23" t="str">
        <f t="shared" si="0"/>
        <v>Wireless Mouse</v>
      </c>
      <c r="G16" s="28" t="s">
        <v>64</v>
      </c>
      <c r="H16" s="23" t="s">
        <v>75</v>
      </c>
      <c r="I16" s="26">
        <v>150</v>
      </c>
    </row>
    <row r="17" spans="1:9" x14ac:dyDescent="0.3">
      <c r="A17" s="23">
        <v>5004</v>
      </c>
      <c r="B17" s="28" t="s">
        <v>64</v>
      </c>
      <c r="C17" s="23">
        <v>10</v>
      </c>
      <c r="D17" s="23" t="str">
        <f t="shared" si="0"/>
        <v>Monitor 24"</v>
      </c>
      <c r="G17" s="28" t="s">
        <v>69</v>
      </c>
      <c r="H17" s="23" t="s">
        <v>76</v>
      </c>
      <c r="I17" s="26">
        <v>15</v>
      </c>
    </row>
    <row r="18" spans="1:9" x14ac:dyDescent="0.3">
      <c r="A18" s="23">
        <v>5005</v>
      </c>
      <c r="B18" s="28" t="s">
        <v>72</v>
      </c>
      <c r="C18" s="23">
        <v>1</v>
      </c>
      <c r="D18" s="23" t="str">
        <f t="shared" si="0"/>
        <v>N/A</v>
      </c>
    </row>
    <row r="20" spans="1:9" x14ac:dyDescent="0.3">
      <c r="A20" s="30" t="s">
        <v>77</v>
      </c>
      <c r="B20" s="30"/>
    </row>
    <row r="21" spans="1:9" x14ac:dyDescent="0.3">
      <c r="A21" s="23" t="s">
        <v>60</v>
      </c>
      <c r="B21" s="23" t="s">
        <v>61</v>
      </c>
      <c r="C21" s="23" t="s">
        <v>62</v>
      </c>
      <c r="D21" s="27" t="s">
        <v>71</v>
      </c>
      <c r="E21" s="27" t="s">
        <v>78</v>
      </c>
    </row>
    <row r="22" spans="1:9" x14ac:dyDescent="0.3">
      <c r="A22" s="23">
        <v>5001</v>
      </c>
      <c r="B22" s="28" t="s">
        <v>68</v>
      </c>
      <c r="C22" s="23">
        <v>5</v>
      </c>
      <c r="D22" s="23" t="str">
        <f>_xlfn.XLOOKUP(B22,$G$14:$G$17,$H$14:$H$17,"Not Found")</f>
        <v>Wireless Mouse</v>
      </c>
      <c r="E22" s="35">
        <f>_xlfn.XLOOKUP(B22,$G$14:$G$17,$I$14:$I$17,0)</f>
        <v>25</v>
      </c>
    </row>
    <row r="23" spans="1:9" x14ac:dyDescent="0.3">
      <c r="A23" s="23">
        <v>5002</v>
      </c>
      <c r="B23" s="28" t="s">
        <v>63</v>
      </c>
      <c r="C23" s="23">
        <v>2</v>
      </c>
      <c r="D23" s="23" t="str">
        <f t="shared" ref="D23:D26" si="1">_xlfn.XLOOKUP(B23,$G$14:$G$17,$H$14:$H$17,"Not Found")</f>
        <v>Mech Keyboard</v>
      </c>
      <c r="E23" s="35">
        <f t="shared" ref="E23:E26" si="2">_xlfn.XLOOKUP(B23,$G$14:$G$17,$I$14:$I$17,0)</f>
        <v>120</v>
      </c>
    </row>
    <row r="24" spans="1:9" x14ac:dyDescent="0.3">
      <c r="A24" s="23">
        <v>5003</v>
      </c>
      <c r="B24" s="28" t="s">
        <v>68</v>
      </c>
      <c r="C24" s="23">
        <v>1</v>
      </c>
      <c r="D24" s="23" t="str">
        <f t="shared" si="1"/>
        <v>Wireless Mouse</v>
      </c>
      <c r="E24" s="35">
        <f t="shared" si="2"/>
        <v>25</v>
      </c>
    </row>
    <row r="25" spans="1:9" x14ac:dyDescent="0.3">
      <c r="A25" s="23">
        <v>5004</v>
      </c>
      <c r="B25" s="28" t="s">
        <v>64</v>
      </c>
      <c r="C25" s="23">
        <v>10</v>
      </c>
      <c r="D25" s="23" t="str">
        <f t="shared" si="1"/>
        <v>Monitor 24"</v>
      </c>
      <c r="E25" s="35">
        <f t="shared" si="2"/>
        <v>150</v>
      </c>
    </row>
    <row r="26" spans="1:9" x14ac:dyDescent="0.3">
      <c r="A26" s="23">
        <v>5005</v>
      </c>
      <c r="B26" s="28" t="s">
        <v>72</v>
      </c>
      <c r="C26" s="23">
        <v>1</v>
      </c>
      <c r="D26" s="23" t="str">
        <f t="shared" si="1"/>
        <v>Not Found</v>
      </c>
      <c r="E26" s="35">
        <f t="shared" si="2"/>
        <v>0</v>
      </c>
    </row>
    <row r="28" spans="1:9" x14ac:dyDescent="0.3">
      <c r="A28" s="31" t="s">
        <v>79</v>
      </c>
      <c r="B28" s="31"/>
    </row>
    <row r="29" spans="1:9" x14ac:dyDescent="0.3">
      <c r="A29" s="23" t="s">
        <v>60</v>
      </c>
      <c r="B29" s="23" t="s">
        <v>61</v>
      </c>
      <c r="C29" s="23" t="s">
        <v>62</v>
      </c>
      <c r="D29" s="27" t="s">
        <v>71</v>
      </c>
      <c r="E29" s="27" t="s">
        <v>78</v>
      </c>
      <c r="F29" s="27" t="s">
        <v>80</v>
      </c>
    </row>
    <row r="30" spans="1:9" x14ac:dyDescent="0.3">
      <c r="A30" s="23">
        <v>5001</v>
      </c>
      <c r="B30" s="28" t="s">
        <v>68</v>
      </c>
      <c r="C30" s="34">
        <v>5</v>
      </c>
      <c r="D30" s="23" t="str">
        <f>_xlfn.XLOOKUP(B22,$G$14:$G$17,$H$14:$H$17,"Not Found")</f>
        <v>Wireless Mouse</v>
      </c>
      <c r="E30" s="32">
        <f>_xlfn.XLOOKUP(B30,$G$14:$G$17,$I$14:$I$17,0)</f>
        <v>25</v>
      </c>
      <c r="F30" s="34">
        <f>C30*E30</f>
        <v>125</v>
      </c>
    </row>
    <row r="31" spans="1:9" x14ac:dyDescent="0.3">
      <c r="A31" s="23">
        <v>5002</v>
      </c>
      <c r="B31" s="28" t="s">
        <v>63</v>
      </c>
      <c r="C31" s="34">
        <v>2</v>
      </c>
      <c r="D31" s="23" t="str">
        <f t="shared" ref="D31:D34" si="3">_xlfn.XLOOKUP(B23,$G$14:$G$17,$H$14:$H$17,"Not Found")</f>
        <v>Mech Keyboard</v>
      </c>
      <c r="E31" s="32">
        <f t="shared" ref="E31:E34" si="4">_xlfn.XLOOKUP(B31,$G$14:$G$17,$I$14:$I$17,0)</f>
        <v>120</v>
      </c>
      <c r="F31" s="34">
        <f t="shared" ref="F31:F34" si="5">C31*E31</f>
        <v>240</v>
      </c>
    </row>
    <row r="32" spans="1:9" x14ac:dyDescent="0.3">
      <c r="A32" s="23">
        <v>5003</v>
      </c>
      <c r="B32" s="28" t="s">
        <v>68</v>
      </c>
      <c r="C32" s="34">
        <v>1</v>
      </c>
      <c r="D32" s="23" t="str">
        <f t="shared" si="3"/>
        <v>Wireless Mouse</v>
      </c>
      <c r="E32" s="32">
        <f t="shared" si="4"/>
        <v>25</v>
      </c>
      <c r="F32" s="34">
        <f t="shared" si="5"/>
        <v>25</v>
      </c>
    </row>
    <row r="33" spans="1:6" x14ac:dyDescent="0.3">
      <c r="A33" s="23">
        <v>5004</v>
      </c>
      <c r="B33" s="28" t="s">
        <v>64</v>
      </c>
      <c r="C33" s="34">
        <v>10</v>
      </c>
      <c r="D33" s="23" t="str">
        <f t="shared" si="3"/>
        <v>Monitor 24"</v>
      </c>
      <c r="E33" s="32">
        <f t="shared" si="4"/>
        <v>150</v>
      </c>
      <c r="F33" s="34">
        <f t="shared" si="5"/>
        <v>1500</v>
      </c>
    </row>
    <row r="34" spans="1:6" x14ac:dyDescent="0.3">
      <c r="A34" s="23">
        <v>5005</v>
      </c>
      <c r="B34" s="28" t="s">
        <v>72</v>
      </c>
      <c r="C34" s="34">
        <v>1</v>
      </c>
      <c r="D34" s="23" t="str">
        <f t="shared" si="3"/>
        <v>Not Found</v>
      </c>
      <c r="E34" s="32">
        <f t="shared" si="4"/>
        <v>0</v>
      </c>
      <c r="F34" s="33">
        <f>C34*E34</f>
        <v>0</v>
      </c>
    </row>
  </sheetData>
  <mergeCells count="2">
    <mergeCell ref="A20:B20"/>
    <mergeCell ref="A28:B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8C6C-C025-4422-9B7A-A53C9EB9BA42}">
  <dimension ref="A1:K23"/>
  <sheetViews>
    <sheetView tabSelected="1" topLeftCell="A19" zoomScale="145" zoomScaleNormal="145" workbookViewId="0">
      <selection activeCell="C26" sqref="C26"/>
    </sheetView>
  </sheetViews>
  <sheetFormatPr defaultRowHeight="14.4" x14ac:dyDescent="0.3"/>
  <cols>
    <col min="1" max="1" width="10.44140625" customWidth="1"/>
    <col min="2" max="2" width="10.6640625" bestFit="1" customWidth="1"/>
    <col min="3" max="3" width="13.109375" bestFit="1" customWidth="1"/>
  </cols>
  <sheetData>
    <row r="1" spans="1:11" ht="15.6" x14ac:dyDescent="0.3">
      <c r="A1" s="2" t="s">
        <v>25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15.6" x14ac:dyDescent="0.3">
      <c r="A2" s="5" t="s">
        <v>26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ht="15.6" x14ac:dyDescent="0.3">
      <c r="A3" s="5" t="s">
        <v>27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15.6" x14ac:dyDescent="0.3">
      <c r="A4" s="8" t="s">
        <v>28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ht="15.6" x14ac:dyDescent="0.3">
      <c r="A5" s="9" t="s">
        <v>29</v>
      </c>
      <c r="B5" s="6"/>
      <c r="C5" s="6"/>
      <c r="D5" s="6"/>
      <c r="E5" s="6"/>
      <c r="F5" s="6"/>
      <c r="G5" s="6"/>
      <c r="H5" s="6"/>
      <c r="I5" s="6"/>
      <c r="J5" s="6"/>
      <c r="K5" s="7"/>
    </row>
    <row r="6" spans="1:11" ht="15.6" x14ac:dyDescent="0.3">
      <c r="A6" s="10" t="s">
        <v>30</v>
      </c>
      <c r="B6" s="6"/>
      <c r="C6" s="6"/>
      <c r="D6" s="6"/>
      <c r="E6" s="6"/>
      <c r="F6" s="6"/>
      <c r="G6" s="6"/>
      <c r="H6" s="6"/>
      <c r="I6" s="6"/>
      <c r="J6" s="6"/>
      <c r="K6" s="7"/>
    </row>
    <row r="7" spans="1:11" ht="15.6" x14ac:dyDescent="0.3">
      <c r="A7" s="8" t="s">
        <v>31</v>
      </c>
      <c r="B7" s="6"/>
      <c r="C7" s="6"/>
      <c r="D7" s="6"/>
      <c r="E7" s="6"/>
      <c r="F7" s="6"/>
      <c r="G7" s="6"/>
      <c r="H7" s="6"/>
      <c r="I7" s="6"/>
      <c r="J7" s="6"/>
      <c r="K7" s="7"/>
    </row>
    <row r="8" spans="1:11" ht="15.6" x14ac:dyDescent="0.3">
      <c r="A8" s="9" t="s">
        <v>32</v>
      </c>
      <c r="B8" s="6"/>
      <c r="C8" s="6"/>
      <c r="D8" s="6"/>
      <c r="E8" s="6"/>
      <c r="F8" s="6"/>
      <c r="G8" s="6"/>
      <c r="H8" s="6"/>
      <c r="I8" s="6"/>
      <c r="J8" s="6"/>
      <c r="K8" s="7"/>
    </row>
    <row r="9" spans="1:11" ht="15.6" x14ac:dyDescent="0.3">
      <c r="A9" s="9" t="s">
        <v>33</v>
      </c>
      <c r="B9" s="6"/>
      <c r="C9" s="6"/>
      <c r="D9" s="6"/>
      <c r="E9" s="6"/>
      <c r="F9" s="6"/>
      <c r="G9" s="6"/>
      <c r="H9" s="6"/>
      <c r="I9" s="6"/>
      <c r="J9" s="6"/>
      <c r="K9" s="7"/>
    </row>
    <row r="10" spans="1:11" ht="15.6" x14ac:dyDescent="0.3">
      <c r="A10" s="10" t="s">
        <v>34</v>
      </c>
      <c r="B10" s="6"/>
      <c r="C10" s="6"/>
      <c r="D10" s="6"/>
      <c r="E10" s="6"/>
      <c r="F10" s="6"/>
      <c r="G10" s="6"/>
      <c r="H10" s="6"/>
      <c r="I10" s="6"/>
      <c r="J10" s="6"/>
      <c r="K10" s="7"/>
    </row>
    <row r="11" spans="1:11" ht="15.6" x14ac:dyDescent="0.3">
      <c r="A11" s="8" t="s">
        <v>35</v>
      </c>
      <c r="B11" s="6"/>
      <c r="C11" s="6"/>
      <c r="D11" s="6"/>
      <c r="E11" s="6"/>
      <c r="F11" s="6"/>
      <c r="G11" s="6"/>
      <c r="H11" s="6"/>
      <c r="I11" s="6"/>
      <c r="J11" s="6"/>
      <c r="K11" s="7"/>
    </row>
    <row r="12" spans="1:11" ht="16.2" thickBot="1" x14ac:dyDescent="0.35">
      <c r="A12" s="11" t="s">
        <v>36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4" spans="1:11" x14ac:dyDescent="0.3">
      <c r="A14" s="23" t="s">
        <v>81</v>
      </c>
      <c r="B14" s="23" t="s">
        <v>82</v>
      </c>
      <c r="C14" s="23" t="s">
        <v>83</v>
      </c>
      <c r="D14" s="23" t="s">
        <v>90</v>
      </c>
    </row>
    <row r="15" spans="1:11" x14ac:dyDescent="0.3">
      <c r="A15" s="28" t="s">
        <v>84</v>
      </c>
      <c r="B15" s="37">
        <v>42019</v>
      </c>
      <c r="C15" s="32">
        <v>65000</v>
      </c>
      <c r="D15" s="23">
        <f ca="1">DATEDIF(B15,TODAY(),"Y")</f>
        <v>10</v>
      </c>
      <c r="E15" s="36"/>
    </row>
    <row r="16" spans="1:11" x14ac:dyDescent="0.3">
      <c r="A16" s="28" t="s">
        <v>85</v>
      </c>
      <c r="B16" s="37">
        <v>43240</v>
      </c>
      <c r="C16" s="32">
        <v>62000</v>
      </c>
      <c r="D16" s="23">
        <f t="shared" ref="D16:D20" ca="1" si="0">DATEDIF(B16,TODAY(),"Y")</f>
        <v>7</v>
      </c>
    </row>
    <row r="17" spans="1:4" x14ac:dyDescent="0.3">
      <c r="A17" s="28" t="s">
        <v>86</v>
      </c>
      <c r="B17" s="37">
        <v>44472</v>
      </c>
      <c r="C17" s="32">
        <v>58000</v>
      </c>
      <c r="D17" s="23">
        <f t="shared" ca="1" si="0"/>
        <v>4</v>
      </c>
    </row>
    <row r="18" spans="1:4" x14ac:dyDescent="0.3">
      <c r="A18" s="28" t="s">
        <v>87</v>
      </c>
      <c r="B18" s="37">
        <v>43476</v>
      </c>
      <c r="C18" s="32">
        <v>64000</v>
      </c>
      <c r="D18" s="23">
        <f t="shared" ca="1" si="0"/>
        <v>6</v>
      </c>
    </row>
    <row r="19" spans="1:4" x14ac:dyDescent="0.3">
      <c r="A19" s="28" t="s">
        <v>88</v>
      </c>
      <c r="B19" s="37">
        <v>44932</v>
      </c>
      <c r="C19" s="32">
        <v>850000</v>
      </c>
      <c r="D19" s="23">
        <f t="shared" ca="1" si="0"/>
        <v>2</v>
      </c>
    </row>
    <row r="20" spans="1:4" x14ac:dyDescent="0.3">
      <c r="A20" s="28" t="s">
        <v>89</v>
      </c>
      <c r="B20" s="37">
        <v>44089</v>
      </c>
      <c r="C20" s="32">
        <v>60000</v>
      </c>
      <c r="D20" s="23">
        <f t="shared" ca="1" si="0"/>
        <v>5</v>
      </c>
    </row>
    <row r="21" spans="1:4" x14ac:dyDescent="0.3">
      <c r="B21" s="23" t="s">
        <v>91</v>
      </c>
      <c r="C21" s="32">
        <f>AVERAGE(C15:C20)</f>
        <v>193166.66666666666</v>
      </c>
    </row>
    <row r="22" spans="1:4" x14ac:dyDescent="0.3">
      <c r="B22" s="23" t="s">
        <v>92</v>
      </c>
      <c r="C22" s="32">
        <f>MEDIAN(C15:C20)</f>
        <v>63000</v>
      </c>
    </row>
    <row r="23" spans="1:4" x14ac:dyDescent="0.3">
      <c r="C23">
        <f>_xlfn.STDEV.P(C15:C20,0)</f>
        <v>280237.58142122254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dhanke</dc:creator>
  <cp:lastModifiedBy>omkar dhanke</cp:lastModifiedBy>
  <dcterms:created xsi:type="dcterms:W3CDTF">2025-12-27T13:19:10Z</dcterms:created>
  <dcterms:modified xsi:type="dcterms:W3CDTF">2025-12-27T14:30:18Z</dcterms:modified>
</cp:coreProperties>
</file>