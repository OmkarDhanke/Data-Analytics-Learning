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Data Analitics\Excel\Class\"/>
    </mc:Choice>
  </mc:AlternateContent>
  <xr:revisionPtr revIDLastSave="0" documentId="13_ncr:1_{284BB0B5-D6AD-47EC-A624-413B672B3C08}" xr6:coauthVersionLast="47" xr6:coauthVersionMax="47" xr10:uidLastSave="{00000000-0000-0000-0000-000000000000}"/>
  <bookViews>
    <workbookView xWindow="11424" yWindow="0" windowWidth="11712" windowHeight="13056" activeTab="1" xr2:uid="{03072DFC-510A-48EA-B67E-8844D1F2F60E}"/>
  </bookViews>
  <sheets>
    <sheet name="D2 S1" sheetId="1" r:id="rId1"/>
    <sheet name="Sheet2" sheetId="2" r:id="rId2"/>
    <sheet name="Sheet3" sheetId="3" r:id="rId3"/>
  </sheets>
  <externalReferences>
    <externalReference r:id="rId4"/>
  </externalReferences>
  <definedNames>
    <definedName name="Asalary">[1]!Table2[Salary]</definedName>
    <definedName name="B_Sales">Sheet2!$D$2:$D$23</definedName>
    <definedName name="Product">Sheet2!$B$2:$B$23</definedName>
    <definedName name="Sales">Sheet2!$E$2:$E$23</definedName>
    <definedName name="Year">Sheet2!$C$2:$C$23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 a="1"/>
  <c r="J6" i="2" s="1"/>
  <c r="J9" i="2"/>
  <c r="L6" i="2"/>
  <c r="F13" i="2"/>
  <c r="F14" i="2"/>
  <c r="F15" i="2"/>
  <c r="F16" i="2"/>
  <c r="F17" i="2"/>
  <c r="F18" i="2"/>
  <c r="F19" i="2"/>
  <c r="F20" i="2"/>
  <c r="F21" i="2"/>
  <c r="F22" i="2"/>
  <c r="F23" i="2"/>
  <c r="F3" i="2"/>
  <c r="F4" i="2"/>
  <c r="F5" i="2"/>
  <c r="F6" i="2"/>
  <c r="F7" i="2"/>
  <c r="F8" i="2"/>
  <c r="F9" i="2"/>
  <c r="F10" i="2"/>
  <c r="F11" i="2"/>
  <c r="F12" i="2"/>
  <c r="F2" i="2"/>
  <c r="I2" i="1" a="1"/>
  <c r="I2" i="1" s="1"/>
  <c r="I3" i="1" a="1"/>
  <c r="I3" i="1"/>
  <c r="I4" i="1" a="1"/>
  <c r="I4" i="1"/>
  <c r="I5" i="1" a="1"/>
  <c r="I5" i="1"/>
  <c r="I6" i="1" a="1"/>
  <c r="I6" i="1" s="1"/>
  <c r="I7" i="1" a="1"/>
  <c r="I7" i="1"/>
  <c r="I8" i="1" a="1"/>
  <c r="I8" i="1" s="1"/>
  <c r="I9" i="1" a="1"/>
  <c r="I9" i="1"/>
  <c r="I10" i="1" a="1"/>
  <c r="I10" i="1" s="1"/>
  <c r="I11" i="1" a="1"/>
  <c r="I11" i="1" s="1"/>
  <c r="H2" i="1" a="1"/>
  <c r="H2" i="1" s="1"/>
  <c r="H3" i="1" a="1"/>
  <c r="H3" i="1" s="1"/>
  <c r="H4" i="1" a="1"/>
  <c r="H4" i="1"/>
  <c r="H5" i="1" a="1"/>
  <c r="H5" i="1"/>
  <c r="H6" i="1" a="1"/>
  <c r="H6" i="1" s="1"/>
  <c r="H7" i="1" a="1"/>
  <c r="H7" i="1" s="1"/>
  <c r="H8" i="1" a="1"/>
  <c r="H8" i="1" s="1"/>
  <c r="H9" i="1" a="1"/>
  <c r="H9" i="1"/>
  <c r="H10" i="1" a="1"/>
  <c r="H10" i="1" s="1"/>
  <c r="H11" i="1" a="1"/>
  <c r="H11" i="1" s="1"/>
  <c r="G3" i="1"/>
  <c r="G10" i="1"/>
  <c r="G9" i="1"/>
  <c r="G2" i="1"/>
  <c r="G4" i="1"/>
  <c r="G5" i="1"/>
  <c r="G6" i="1"/>
  <c r="G7" i="1"/>
  <c r="G8" i="1"/>
  <c r="G11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<sst xmlns="http://schemas.openxmlformats.org/spreadsheetml/2006/main" count="82" uniqueCount="41">
  <si>
    <t>Sr_No</t>
  </si>
  <si>
    <t>Name</t>
  </si>
  <si>
    <t>Salary</t>
  </si>
  <si>
    <t>Tax</t>
  </si>
  <si>
    <t>Net_salay</t>
  </si>
  <si>
    <t>Omkar</t>
  </si>
  <si>
    <t xml:space="preserve">Kaushal </t>
  </si>
  <si>
    <t xml:space="preserve">Vivek </t>
  </si>
  <si>
    <t>Net Salary</t>
  </si>
  <si>
    <t xml:space="preserve">Soham </t>
  </si>
  <si>
    <t>Aditya</t>
  </si>
  <si>
    <t>Siddhesh</t>
  </si>
  <si>
    <t>Dipak</t>
  </si>
  <si>
    <t>Sevak</t>
  </si>
  <si>
    <t>Raj</t>
  </si>
  <si>
    <t>Ganesh</t>
  </si>
  <si>
    <t>rating</t>
  </si>
  <si>
    <t>amt</t>
  </si>
  <si>
    <t>bonuse with IFS</t>
  </si>
  <si>
    <t>Bonus IF</t>
  </si>
  <si>
    <t>Bonus With Iferror</t>
  </si>
  <si>
    <t>\</t>
  </si>
  <si>
    <t>District</t>
  </si>
  <si>
    <t>Product</t>
  </si>
  <si>
    <t>Year</t>
  </si>
  <si>
    <t>Budget Sale</t>
  </si>
  <si>
    <t>Sales</t>
  </si>
  <si>
    <t>Difference</t>
  </si>
  <si>
    <t>Mumbai</t>
  </si>
  <si>
    <t>Motorola</t>
  </si>
  <si>
    <t>Mi</t>
  </si>
  <si>
    <t>Itel</t>
  </si>
  <si>
    <t>Lenovo</t>
  </si>
  <si>
    <t>Pune</t>
  </si>
  <si>
    <t>Satara</t>
  </si>
  <si>
    <t>year</t>
  </si>
  <si>
    <t>Maxif</t>
  </si>
  <si>
    <t>countifs</t>
  </si>
  <si>
    <t>sumifs</t>
  </si>
  <si>
    <t>minifs</t>
  </si>
  <si>
    <t>AvgIFs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</si>
</sst>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4" xfId="0" applyFont="1" applyBorder="1"/>
    <xf numFmtId="0" fontId="3" fillId="0" borderId="2" xfId="0" applyFont="1" applyBorder="1"/>
    <xf numFmtId="9" fontId="0" fillId="0" borderId="0" xfId="0" applyNumberFormat="1"/>
    <xf numFmtId="0" fontId="0" fillId="0" borderId="4" xfId="0" applyBorder="1"/>
    <xf numFmtId="0" fontId="3" fillId="0" borderId="5" xfId="0" applyFont="1" applyBorder="1"/>
    <xf numFmtId="14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1" xfId="0" applyBorder="1"/>
    <xf numFmtId="0" fontId="0" fillId="0" borderId="0" xfId="0" applyBorder="1"/>
    <xf numFmtId="0" fontId="0" fillId="0" borderId="9" xfId="0" applyBorder="1"/>
    <xf numFmtId="0" fontId="0" fillId="0" borderId="7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2" xfId="0" applyNumberFormat="1" applyFont="1" applyBorder="1"/>
    <xf numFmtId="0" fontId="0" fillId="0" borderId="4" xfId="0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hank\Documents\Data%20Analitics\Excel\Class\E%20Day%201.xlsx" TargetMode="External"/><Relationship Id="rId1" Type="http://schemas.openxmlformats.org/officeDocument/2006/relationships/externalLinkPath" Target="E%20Day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520C2A-C6FC-4FC3-B4B9-813B9322CADD}" name="Table1" displayName="Table1" ref="O1:O2" totalsRowShown="0">
  <autoFilter ref="O1:O2" xr:uid="{AB520C2A-C6FC-4FC3-B4B9-813B9322CADD}"/>
  <tableColumns count="1">
    <tableColumn id="1" xr3:uid="{ABFA9B46-69D0-464C-B02D-89DB268A2C55}" name="Tax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71A222-0BD4-49C0-AB5F-9DFCFBB81022}" name="Table2" displayName="Table2" ref="A1:I11" totalsRowShown="0" headerRowDxfId="12" headerRowBorderDxfId="28" tableBorderDxfId="29" totalsRowBorderDxfId="27">
  <autoFilter ref="A1:I11" xr:uid="{6771A222-0BD4-49C0-AB5F-9DFCFBB810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F1F5BE0-2D7A-4C88-9D21-6FFEC38638F7}" name="Sr_No" dataDxfId="26"/>
    <tableColumn id="2" xr3:uid="{B676ECBC-43F5-4BBF-AC32-59FB27C4D7AC}" name="Name" dataDxfId="25"/>
    <tableColumn id="3" xr3:uid="{4C2B5D6C-B05F-45B4-828D-AC15DE485B6C}" name="Salary" dataDxfId="24"/>
    <tableColumn id="4" xr3:uid="{FCDB394F-FECF-42C3-8584-4064CE19ECC2}" name="Tax" dataDxfId="23">
      <calculatedColumnFormula xml:space="preserve"> C2*$O$2</calculatedColumnFormula>
    </tableColumn>
    <tableColumn id="5" xr3:uid="{A0F62E02-2C8D-448F-904E-D90C6B257846}" name="Net_salay" dataDxfId="22">
      <calculatedColumnFormula>Table2[[#This Row],[Salary]]*$O$5</calculatedColumnFormula>
    </tableColumn>
    <tableColumn id="6" xr3:uid="{5D3E953F-635A-48C5-B008-60D921F86468}" name="rating" dataDxfId="20"/>
    <tableColumn id="7" xr3:uid="{49DA7AFD-9FFF-4145-BF2B-594B05780D85}" name="Bonus IF" dataDxfId="13">
      <calculatedColumnFormula>IF(F2=$M$2,$N$2,IF(F2=$M$3,$N$3,IF(F2=$M$4,$N$4,IF(F2=$M$5,$N$5,IF(F2=$M$6,$N$6,0)))))</calculatedColumnFormula>
    </tableColumn>
    <tableColumn id="8" xr3:uid="{FA569284-AE37-45D4-A7AE-1758432F1CEF}" name="bonuse with IFS" dataDxfId="11">
      <calculatedColumnFormula array="1">_xlfn.IFS(F2=$M$2,$N$2,F2=$M$3,$N$3,F2=$M$4,$N$4,F2=$M$5,$N$5,F2=$M$6,$N$6)</calculatedColumnFormula>
    </tableColumn>
    <tableColumn id="9" xr3:uid="{4DC0A2AD-0689-4D0B-A5B7-7175D0DAA28F}" name="Bonus With Iferror" dataDxfId="10">
      <calculatedColumnFormula array="1">IFERROR(_xlfn.IFS(F2=$M$2,$N$2,F2=$M$3,$N$3,F2=$M$4,$N$4,F2=$M$5,$N$5,F2=$M$6,$N$6),0)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6766B7-646C-4BFF-8DAC-00B5A10BE3BD}" name="Table7" displayName="Table7" ref="O4:O5" totalsRowShown="0">
  <autoFilter ref="O4:O5" xr:uid="{A46766B7-646C-4BFF-8DAC-00B5A10BE3BD}"/>
  <tableColumns count="1">
    <tableColumn id="1" xr3:uid="{6D7CB646-F721-4A62-9B9B-3E53B5378BE2}" name="Net Salary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17EB59-14E6-4544-94D4-DD11C1626DCA}" name="Table5" displayName="Table5" ref="M1:N6" totalsRowShown="0" headerRowDxfId="14" headerRowBorderDxfId="18" tableBorderDxfId="19" totalsRowBorderDxfId="17">
  <autoFilter ref="M1:N6" xr:uid="{7617EB59-14E6-4544-94D4-DD11C1626DCA}"/>
  <tableColumns count="2">
    <tableColumn id="1" xr3:uid="{4E063FD3-B6AE-4F87-B72B-53537BF27164}" name="rating" dataDxfId="16"/>
    <tableColumn id="2" xr3:uid="{AC1F1E94-83E8-4E9D-B23B-ACBECBB2C2E3}" name="am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FC2B44-014C-40C0-9DFE-61B42F54E16E}" name="Table6" displayName="Table6" ref="A1:F23" totalsRowShown="0" headerRowDxfId="0" headerRowBorderDxfId="8" tableBorderDxfId="9" totalsRowBorderDxfId="7">
  <autoFilter ref="A1:F23" xr:uid="{1FFC2B44-014C-40C0-9DFE-61B42F54E16E}"/>
  <tableColumns count="6">
    <tableColumn id="1" xr3:uid="{6299C1B2-AFDF-4EB4-9903-E2AB6A6A5715}" name="District" dataDxfId="6"/>
    <tableColumn id="2" xr3:uid="{EB5B1648-EE89-46B6-90C5-392A3FA1A50C}" name="Product" dataDxfId="5"/>
    <tableColumn id="3" xr3:uid="{882D8413-7430-46D8-BBEE-1202BDA64A6B}" name="Year" dataDxfId="4"/>
    <tableColumn id="4" xr3:uid="{A131CC82-55BA-4F3B-A5A4-7FC68B194273}" name="Budget Sale" dataDxfId="3"/>
    <tableColumn id="5" xr3:uid="{E8688F0D-532A-45C2-A135-5CFD647AC65C}" name="Sales" dataDxfId="2"/>
    <tableColumn id="6" xr3:uid="{A8E9BB88-6392-4553-8544-0DF6A9380DDA}" name="Difference" dataDxfId="1">
      <calculatedColumnFormula>E2-D2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F941-0F48-4AAB-9C16-52FB0E3B75DF}">
  <dimension ref="A1:O20"/>
  <sheetViews>
    <sheetView topLeftCell="E1" zoomScale="91" workbookViewId="0">
      <selection activeCell="G30" sqref="G30"/>
    </sheetView>
  </sheetViews>
  <sheetFormatPr defaultRowHeight="14.4" x14ac:dyDescent="0.3"/>
  <cols>
    <col min="1" max="1" width="10.88671875" bestFit="1" customWidth="1"/>
    <col min="2" max="2" width="10.44140625" bestFit="1" customWidth="1"/>
    <col min="3" max="3" width="10.88671875" bestFit="1" customWidth="1"/>
    <col min="4" max="4" width="8.6640625" bestFit="1" customWidth="1"/>
    <col min="5" max="5" width="13.77734375" bestFit="1" customWidth="1"/>
    <col min="8" max="8" width="15.33203125" bestFit="1" customWidth="1"/>
    <col min="9" max="9" width="18" bestFit="1" customWidth="1"/>
    <col min="15" max="15" width="11.77734375" bestFit="1" customWidth="1"/>
  </cols>
  <sheetData>
    <row r="1" spans="1:15" x14ac:dyDescent="0.3">
      <c r="A1" s="14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16</v>
      </c>
      <c r="G1" s="15" t="s">
        <v>19</v>
      </c>
      <c r="H1" s="15" t="s">
        <v>18</v>
      </c>
      <c r="I1" s="15" t="s">
        <v>20</v>
      </c>
      <c r="M1" s="10" t="s">
        <v>16</v>
      </c>
      <c r="N1" s="9" t="s">
        <v>17</v>
      </c>
      <c r="O1" t="s">
        <v>3</v>
      </c>
    </row>
    <row r="2" spans="1:15" x14ac:dyDescent="0.3">
      <c r="A2" s="1">
        <v>1</v>
      </c>
      <c r="B2" s="1" t="s">
        <v>5</v>
      </c>
      <c r="C2" s="1">
        <v>65000</v>
      </c>
      <c r="D2" s="1">
        <f xml:space="preserve"> C2*$O$2</f>
        <v>1300</v>
      </c>
      <c r="E2" s="2">
        <f>Table2[[#This Row],[Salary]]*$O$5</f>
        <v>22750</v>
      </c>
      <c r="F2" s="2">
        <v>1</v>
      </c>
      <c r="G2" s="2">
        <f>IF(F2=$M$2,$N$2,IF(F2=$M$3,$N$3,IF(F2=$M$4,$N$4,IF(F2=$M$5,$N$5,IF(F2=$M$6,$N$6,0)))))</f>
        <v>1000</v>
      </c>
      <c r="H2" s="1" cm="1">
        <f t="array" ref="H2">_xlfn.IFS(F2=$M$2,$N$2,F2=$M$3,$N$3,F2=$M$4,$N$4,F2=$M$5,$N$5,F2=$M$6,$N$6)</f>
        <v>1000</v>
      </c>
      <c r="I2" s="17" cm="1">
        <f t="array" ref="I2">IFERROR(_xlfn.IFS(F2=$M$2,$N$2,F2=$M$3,$N$3,F2=$M$4,$N$4,F2=$M$5,$N$5,F2=$M$6,$N$6),0)</f>
        <v>1000</v>
      </c>
      <c r="M2" s="12">
        <v>1</v>
      </c>
      <c r="N2" s="13">
        <v>1000</v>
      </c>
      <c r="O2" s="3">
        <v>0.02</v>
      </c>
    </row>
    <row r="3" spans="1:15" x14ac:dyDescent="0.3">
      <c r="A3" s="1">
        <v>2</v>
      </c>
      <c r="B3" s="1" t="s">
        <v>6</v>
      </c>
      <c r="C3" s="1">
        <v>55000</v>
      </c>
      <c r="D3" s="1">
        <f xml:space="preserve"> C3*$O$2</f>
        <v>1100</v>
      </c>
      <c r="E3" s="1">
        <f>Table2[[#This Row],[Salary]]*$O$5</f>
        <v>19250</v>
      </c>
      <c r="F3" s="1">
        <v>4</v>
      </c>
      <c r="G3" s="1">
        <f>IF(F3=$M$2,$N$2,IF(F3=$M$3,$N$3,IF(F3=$M$4,$N$4,IF(F3=$M$5,$N$5,IF(F3=$M$6,$N$6,0)))))</f>
        <v>4000</v>
      </c>
      <c r="H3" s="1" cm="1">
        <f t="array" ref="H3">_xlfn.IFS(F3=$M$2,$N$2,F3=$M$3,$N$3,F3=$M$4,$N$4,F3=$M$5,$N$5,F3=$M$6,$N$6)</f>
        <v>4000</v>
      </c>
      <c r="I3" s="17" cm="1">
        <f t="array" ref="I3">IFERROR(_xlfn.IFS(F3=$M$2,$N$2,F3=$M$3,$N$3,F3=$M$4,$N$4,F3=$M$5,$N$5,F3=$M$6,$N$6),0)</f>
        <v>4000</v>
      </c>
      <c r="M3" s="12">
        <v>2</v>
      </c>
      <c r="N3" s="13">
        <v>2000</v>
      </c>
    </row>
    <row r="4" spans="1:15" x14ac:dyDescent="0.3">
      <c r="A4" s="1">
        <v>3</v>
      </c>
      <c r="B4" s="1" t="s">
        <v>7</v>
      </c>
      <c r="C4" s="1">
        <v>45000</v>
      </c>
      <c r="D4" s="1">
        <f xml:space="preserve"> C4*$O$2</f>
        <v>900</v>
      </c>
      <c r="E4" s="1">
        <f>Table2[[#This Row],[Salary]]*$O$5</f>
        <v>15749.999999999998</v>
      </c>
      <c r="F4" s="1">
        <v>3</v>
      </c>
      <c r="G4" s="1">
        <f>IF(F4=$M$2,$N$2,IF(F4=$M$3,$N$3,IF(F4=$M$4,$N$4,IF(F4=$M$5,$N$5,IF(F4=$M$6,$N$6,0)))))</f>
        <v>3000</v>
      </c>
      <c r="H4" s="1" cm="1">
        <f t="array" ref="H4">_xlfn.IFS(F4=$M$2,$N$2,F4=$M$3,$N$3,F4=$M$4,$N$4,F4=$M$5,$N$5,F4=$M$6,$N$6)</f>
        <v>3000</v>
      </c>
      <c r="I4" s="17" cm="1">
        <f t="array" ref="I4">IFERROR(_xlfn.IFS(F4=$M$2,$N$2,F4=$M$3,$N$3,F4=$M$4,$N$4,F4=$M$5,$N$5,F4=$M$6,$N$6),0)</f>
        <v>3000</v>
      </c>
      <c r="M4" s="12">
        <v>3</v>
      </c>
      <c r="N4" s="13">
        <v>3000</v>
      </c>
      <c r="O4" t="s">
        <v>8</v>
      </c>
    </row>
    <row r="5" spans="1:15" x14ac:dyDescent="0.3">
      <c r="A5" s="1">
        <v>4</v>
      </c>
      <c r="B5" s="1" t="s">
        <v>9</v>
      </c>
      <c r="C5" s="1">
        <v>36000</v>
      </c>
      <c r="D5" s="1">
        <f xml:space="preserve"> C5*$O$2</f>
        <v>720</v>
      </c>
      <c r="E5" s="1">
        <f>Table2[[#This Row],[Salary]]*$O$5</f>
        <v>12600</v>
      </c>
      <c r="F5" s="1">
        <v>1</v>
      </c>
      <c r="G5" s="1">
        <f>IF(F5=$M$2,$N$2,IF(F5=$M$3,$N$3,IF(F5=$M$4,$N$4,IF(F5=$M$5,$N$5,IF(F5=$M$6,$N$6,0)))))</f>
        <v>1000</v>
      </c>
      <c r="H5" s="1" cm="1">
        <f t="array" ref="H5">_xlfn.IFS(F5=$M$2,$N$2,F5=$M$3,$N$3,F5=$M$4,$N$4,F5=$M$5,$N$5,F5=$M$6,$N$6)</f>
        <v>1000</v>
      </c>
      <c r="I5" s="17" cm="1">
        <f t="array" ref="I5">IFERROR(_xlfn.IFS(F5=$M$2,$N$2,F5=$M$3,$N$3,F5=$M$4,$N$4,F5=$M$5,$N$5,F5=$M$6,$N$6),0)</f>
        <v>1000</v>
      </c>
      <c r="M5" s="12">
        <v>4</v>
      </c>
      <c r="N5" s="13">
        <v>4000</v>
      </c>
      <c r="O5" s="3">
        <v>0.35</v>
      </c>
    </row>
    <row r="6" spans="1:15" x14ac:dyDescent="0.3">
      <c r="A6" s="1">
        <v>5</v>
      </c>
      <c r="B6" s="1" t="s">
        <v>10</v>
      </c>
      <c r="C6" s="1">
        <v>44000</v>
      </c>
      <c r="D6" s="1">
        <f xml:space="preserve"> C6*$O$2</f>
        <v>880</v>
      </c>
      <c r="E6" s="1">
        <f>Table2[[#This Row],[Salary]]*$O$5</f>
        <v>15399.999999999998</v>
      </c>
      <c r="F6" s="1">
        <v>2</v>
      </c>
      <c r="G6" s="1">
        <f>IF(F6=$M$2,$N$2,IF(F6=$M$3,$N$3,IF(F6=$M$4,$N$4,IF(F6=$M$5,$N$5,IF(F6=$M$6,$N$6,0)))))</f>
        <v>2000</v>
      </c>
      <c r="H6" s="1" cm="1">
        <f t="array" ref="H6">_xlfn.IFS(F6=$M$2,$N$2,F6=$M$3,$N$3,F6=$M$4,$N$4,F6=$M$5,$N$5,F6=$M$6,$N$6)</f>
        <v>2000</v>
      </c>
      <c r="I6" s="17" cm="1">
        <f t="array" ref="I6">IFERROR(_xlfn.IFS(F6=$M$2,$N$2,F6=$M$3,$N$3,F6=$M$4,$N$4,F6=$M$5,$N$5,F6=$M$6,$N$6),0)</f>
        <v>2000</v>
      </c>
      <c r="M6" s="8">
        <v>5</v>
      </c>
      <c r="N6" s="7">
        <v>5000</v>
      </c>
    </row>
    <row r="7" spans="1:15" x14ac:dyDescent="0.3">
      <c r="A7" s="1">
        <v>6</v>
      </c>
      <c r="B7" s="1" t="s">
        <v>11</v>
      </c>
      <c r="C7" s="1">
        <v>30700</v>
      </c>
      <c r="D7" s="1">
        <f xml:space="preserve"> C7*$O$2</f>
        <v>614</v>
      </c>
      <c r="E7" s="1">
        <f>Table2[[#This Row],[Salary]]*$O$5</f>
        <v>10745</v>
      </c>
      <c r="F7" s="1">
        <v>3</v>
      </c>
      <c r="G7" s="1">
        <f>IF(F7=$M$2,$N$2,IF(F7=$M$3,$N$3,IF(F7=$M$4,$N$4,IF(F7=$M$5,$N$5,IF(F7=$M$6,$N$6,0)))))</f>
        <v>3000</v>
      </c>
      <c r="H7" s="1" cm="1">
        <f t="array" ref="H7">_xlfn.IFS(F7=$M$2,$N$2,F7=$M$3,$N$3,F7=$M$4,$N$4,F7=$M$5,$N$5,F7=$M$6,$N$6)</f>
        <v>3000</v>
      </c>
      <c r="I7" s="17" cm="1">
        <f t="array" ref="I7">IFERROR(_xlfn.IFS(F7=$M$2,$N$2,F7=$M$3,$N$3,F7=$M$4,$N$4,F7=$M$5,$N$5,F7=$M$6,$N$6),0)</f>
        <v>3000</v>
      </c>
    </row>
    <row r="8" spans="1:15" x14ac:dyDescent="0.3">
      <c r="A8" s="1">
        <v>7</v>
      </c>
      <c r="B8" s="1" t="s">
        <v>12</v>
      </c>
      <c r="C8" s="1">
        <v>24600</v>
      </c>
      <c r="D8" s="1">
        <f xml:space="preserve"> C8*$O$2</f>
        <v>492</v>
      </c>
      <c r="E8" s="1">
        <f>Table2[[#This Row],[Salary]]*$O$5</f>
        <v>8610</v>
      </c>
      <c r="F8" s="1">
        <v>4</v>
      </c>
      <c r="G8" s="1">
        <f>IF(F8=$M$2,$N$2,IF(F8=$M$3,$N$3,IF(F8=$M$4,$N$4,IF(F8=$M$5,$N$5,IF(F8=$M$6,$N$6,0)))))</f>
        <v>4000</v>
      </c>
      <c r="H8" s="1" cm="1">
        <f t="array" ref="H8">_xlfn.IFS(F8=$M$2,$N$2,F8=$M$3,$N$3,F8=$M$4,$N$4,F8=$M$5,$N$5,F8=$M$6,$N$6)</f>
        <v>4000</v>
      </c>
      <c r="I8" s="17" cm="1">
        <f t="array" ref="I8">IFERROR(_xlfn.IFS(F8=$M$2,$N$2,F8=$M$3,$N$3,F8=$M$4,$N$4,F8=$M$5,$N$5,F8=$M$6,$N$6),0)</f>
        <v>4000</v>
      </c>
    </row>
    <row r="9" spans="1:15" x14ac:dyDescent="0.3">
      <c r="A9" s="1">
        <v>8</v>
      </c>
      <c r="B9" s="1" t="s">
        <v>13</v>
      </c>
      <c r="C9" s="1">
        <v>28500</v>
      </c>
      <c r="D9" s="1">
        <f xml:space="preserve"> C9*$O$2</f>
        <v>570</v>
      </c>
      <c r="E9" s="1">
        <f>Table2[[#This Row],[Salary]]*$O$5</f>
        <v>9975</v>
      </c>
      <c r="F9" s="1">
        <v>4</v>
      </c>
      <c r="G9" s="1">
        <f>IF(F9=$M$2,$N$2,IF(F9=$M$3,$N$3,IF(F9=$M$4,$N$4,IF(F9=$M$5,$N$5,IF(F9=$M$6,$N$6,0)))))</f>
        <v>4000</v>
      </c>
      <c r="H9" s="1" cm="1">
        <f t="array" ref="H9">_xlfn.IFS(F9=$M$2,$N$2,F9=$M$3,$N$3,F9=$M$4,$N$4,F9=$M$5,$N$5,F9=$M$6,$N$6)</f>
        <v>4000</v>
      </c>
      <c r="I9" s="17" cm="1">
        <f t="array" ref="I9">IFERROR(_xlfn.IFS(F9=$M$2,$N$2,F9=$M$3,$N$3,F9=$M$4,$N$4,F9=$M$5,$N$5,F9=$M$6,$N$6),0)</f>
        <v>4000</v>
      </c>
    </row>
    <row r="10" spans="1:15" x14ac:dyDescent="0.3">
      <c r="A10" s="1">
        <v>9</v>
      </c>
      <c r="B10" s="1" t="s">
        <v>14</v>
      </c>
      <c r="C10" s="1">
        <v>22400</v>
      </c>
      <c r="D10" s="1">
        <f xml:space="preserve"> C10*$O$2</f>
        <v>448</v>
      </c>
      <c r="E10" s="1">
        <f>Table2[[#This Row],[Salary]]*$O$5</f>
        <v>7839.9999999999991</v>
      </c>
      <c r="F10" s="1">
        <v>2</v>
      </c>
      <c r="G10" s="1">
        <f>IF(F10=$M$2,$N$2,IF(F10=$M$3,$N$3,IF(F10=$M$4,$N$4,IF(F10=$M$5,$N$5,IF(F10=$M$6,$N$6,0)))))</f>
        <v>2000</v>
      </c>
      <c r="H10" s="1" cm="1">
        <f t="array" ref="H10">_xlfn.IFS(F10=$M$2,$N$2,F10=$M$3,$N$3,F10=$M$4,$N$4,F10=$M$5,$N$5,F10=$M$6,$N$6)</f>
        <v>2000</v>
      </c>
      <c r="I10" s="17" cm="1">
        <f t="array" ref="I10">IFERROR(_xlfn.IFS(F10=$M$2,$N$2,F10=$M$3,$N$3,F10=$M$4,$N$4,F10=$M$5,$N$5,F10=$M$6,$N$6),0)</f>
        <v>2000</v>
      </c>
      <c r="K10" t="s">
        <v>21</v>
      </c>
    </row>
    <row r="11" spans="1:15" x14ac:dyDescent="0.3">
      <c r="A11" s="1">
        <v>10</v>
      </c>
      <c r="B11" s="1" t="s">
        <v>15</v>
      </c>
      <c r="C11" s="1">
        <v>60300</v>
      </c>
      <c r="D11" s="1">
        <f xml:space="preserve"> C11*$O$2</f>
        <v>1206</v>
      </c>
      <c r="E11" s="5">
        <f>Table2[[#This Row],[Salary]]*$O$5</f>
        <v>21105</v>
      </c>
      <c r="F11" s="5">
        <v>3</v>
      </c>
      <c r="G11" s="5">
        <f>IF(F11=$M$2,$N$2,IF(F11=$M$3,$N$3,IF(F11=$M$4,$N$4,IF(F11=$M$5,$N$5,IF(F11=$M$6,$N$6,0)))))</f>
        <v>3000</v>
      </c>
      <c r="H11" s="5" cm="1">
        <f t="array" ref="H11">_xlfn.IFS(F11=$M$2,$N$2,F11=$M$3,$N$3,F11=$M$4,$N$4,F11=$M$5,$N$5,F11=$M$6,$N$6)</f>
        <v>3000</v>
      </c>
      <c r="I11" s="17" cm="1">
        <f t="array" ref="I11">IFERROR(_xlfn.IFS(F11=$M$2,$N$2,F11=$M$3,$N$3,F11=$M$4,$N$4,F11=$M$5,$N$5,F11=$M$6,$N$6),0)</f>
        <v>3000</v>
      </c>
    </row>
    <row r="12" spans="1:15" x14ac:dyDescent="0.3">
      <c r="A12" s="6"/>
      <c r="G12" s="11"/>
      <c r="H12" s="11"/>
      <c r="I12" s="11"/>
    </row>
    <row r="13" spans="1:15" x14ac:dyDescent="0.3">
      <c r="A13" s="6"/>
      <c r="G13" s="11"/>
      <c r="H13" s="11"/>
      <c r="I13" s="11"/>
    </row>
    <row r="14" spans="1:15" x14ac:dyDescent="0.3">
      <c r="A14" s="6"/>
      <c r="G14" s="11"/>
      <c r="H14" s="11"/>
      <c r="I14" s="11"/>
      <c r="J14" s="11"/>
      <c r="K14" s="11"/>
    </row>
    <row r="15" spans="1:15" x14ac:dyDescent="0.3">
      <c r="A15" s="6"/>
      <c r="G15" s="11"/>
      <c r="H15" s="11"/>
      <c r="I15" s="11"/>
      <c r="J15" s="11"/>
      <c r="K15" s="11"/>
    </row>
    <row r="16" spans="1:15" x14ac:dyDescent="0.3">
      <c r="G16" s="11"/>
      <c r="H16" s="11"/>
      <c r="I16" s="11"/>
      <c r="J16" s="11"/>
      <c r="K16" s="11"/>
    </row>
    <row r="17" spans="7:11" x14ac:dyDescent="0.3">
      <c r="G17" s="11"/>
      <c r="H17" s="11"/>
      <c r="I17" s="11"/>
      <c r="J17" s="11"/>
      <c r="K17" s="11"/>
    </row>
    <row r="18" spans="7:11" x14ac:dyDescent="0.3">
      <c r="G18" s="11"/>
      <c r="H18" s="11"/>
      <c r="I18" s="11"/>
      <c r="J18" s="11"/>
      <c r="K18" s="11"/>
    </row>
    <row r="19" spans="7:11" x14ac:dyDescent="0.3">
      <c r="G19" s="11"/>
      <c r="H19" s="11"/>
      <c r="I19" s="11"/>
      <c r="J19" s="11"/>
      <c r="K19" s="11"/>
    </row>
    <row r="20" spans="7:11" x14ac:dyDescent="0.3">
      <c r="G20" s="11"/>
      <c r="H20" s="11"/>
      <c r="I20" s="11"/>
      <c r="J20" s="11"/>
      <c r="K20" s="1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D473-831B-40E5-AC61-CD2883BAEA7C}">
  <dimension ref="A1:L23"/>
  <sheetViews>
    <sheetView tabSelected="1" zoomScale="83" workbookViewId="0">
      <selection activeCell="J17" sqref="J17"/>
    </sheetView>
  </sheetViews>
  <sheetFormatPr defaultRowHeight="14.4" x14ac:dyDescent="0.3"/>
  <cols>
    <col min="1" max="1" width="9.21875" customWidth="1"/>
    <col min="2" max="2" width="13.109375" customWidth="1"/>
    <col min="3" max="3" width="6.6640625" customWidth="1"/>
    <col min="4" max="4" width="12.88671875" customWidth="1"/>
    <col min="5" max="5" width="7.44140625" customWidth="1"/>
    <col min="6" max="6" width="12" customWidth="1"/>
    <col min="11" max="11" width="9.44140625" bestFit="1" customWidth="1"/>
  </cols>
  <sheetData>
    <row r="1" spans="1:12" x14ac:dyDescent="0.3">
      <c r="A1" s="25" t="s">
        <v>22</v>
      </c>
      <c r="B1" s="26" t="s">
        <v>23</v>
      </c>
      <c r="C1" s="26" t="s">
        <v>24</v>
      </c>
      <c r="D1" s="26" t="s">
        <v>25</v>
      </c>
      <c r="E1" s="26" t="s">
        <v>26</v>
      </c>
      <c r="F1" s="27" t="s">
        <v>27</v>
      </c>
      <c r="J1" s="20" t="s">
        <v>35</v>
      </c>
      <c r="K1" s="20" t="s">
        <v>23</v>
      </c>
      <c r="L1" s="20" t="s">
        <v>36</v>
      </c>
    </row>
    <row r="2" spans="1:12" x14ac:dyDescent="0.3">
      <c r="A2" s="23" t="s">
        <v>28</v>
      </c>
      <c r="B2" s="18" t="s">
        <v>29</v>
      </c>
      <c r="C2" s="18">
        <v>2022</v>
      </c>
      <c r="D2" s="19">
        <v>15000</v>
      </c>
      <c r="E2" s="19">
        <v>14900</v>
      </c>
      <c r="F2" s="24">
        <f>E2-D2</f>
        <v>-100</v>
      </c>
      <c r="J2" s="4">
        <v>2021</v>
      </c>
      <c r="K2" s="4" t="s">
        <v>29</v>
      </c>
      <c r="L2" s="4"/>
    </row>
    <row r="3" spans="1:12" x14ac:dyDescent="0.3">
      <c r="A3" s="23" t="s">
        <v>28</v>
      </c>
      <c r="B3" s="18" t="s">
        <v>30</v>
      </c>
      <c r="C3" s="18">
        <v>2022</v>
      </c>
      <c r="D3" s="19">
        <v>12000</v>
      </c>
      <c r="E3" s="19">
        <v>14901</v>
      </c>
      <c r="F3" s="24">
        <f t="shared" ref="F3:F23" si="0">E3-D3</f>
        <v>2901</v>
      </c>
    </row>
    <row r="4" spans="1:12" x14ac:dyDescent="0.3">
      <c r="A4" s="23" t="s">
        <v>28</v>
      </c>
      <c r="B4" s="18" t="s">
        <v>31</v>
      </c>
      <c r="C4" s="18">
        <v>2022</v>
      </c>
      <c r="D4" s="19">
        <v>12000</v>
      </c>
      <c r="E4" s="19">
        <v>14902</v>
      </c>
      <c r="F4" s="24">
        <f t="shared" si="0"/>
        <v>2902</v>
      </c>
    </row>
    <row r="5" spans="1:12" x14ac:dyDescent="0.3">
      <c r="A5" s="23" t="s">
        <v>28</v>
      </c>
      <c r="B5" s="18" t="s">
        <v>32</v>
      </c>
      <c r="C5" s="18">
        <v>2022</v>
      </c>
      <c r="D5" s="19">
        <v>14000</v>
      </c>
      <c r="E5" s="19">
        <v>14903</v>
      </c>
      <c r="F5" s="24">
        <f t="shared" si="0"/>
        <v>903</v>
      </c>
      <c r="J5" s="20" t="s">
        <v>38</v>
      </c>
      <c r="K5" s="21"/>
      <c r="L5" s="20" t="s">
        <v>39</v>
      </c>
    </row>
    <row r="6" spans="1:12" x14ac:dyDescent="0.3">
      <c r="A6" s="23" t="s">
        <v>33</v>
      </c>
      <c r="B6" s="18" t="s">
        <v>29</v>
      </c>
      <c r="C6" s="18">
        <v>2022</v>
      </c>
      <c r="D6" s="19">
        <v>1000</v>
      </c>
      <c r="E6" s="19">
        <v>14904</v>
      </c>
      <c r="F6" s="24">
        <f t="shared" si="0"/>
        <v>13904</v>
      </c>
      <c r="J6" s="22" t="e" cm="1" vm="1">
        <f t="array" aca="1" ref="J6" ca="1">SUMIFS(Sales,Year,Product)</f>
        <v>#VALUE!</v>
      </c>
      <c r="K6" s="21"/>
      <c r="L6" s="22">
        <f>_xlfn.MINIFS(Sales,Year,J2,Product,K2)</f>
        <v>2500</v>
      </c>
    </row>
    <row r="7" spans="1:12" x14ac:dyDescent="0.3">
      <c r="A7" s="23" t="s">
        <v>33</v>
      </c>
      <c r="B7" s="18" t="s">
        <v>30</v>
      </c>
      <c r="C7" s="18">
        <v>2022</v>
      </c>
      <c r="D7" s="19">
        <v>24000</v>
      </c>
      <c r="E7" s="19">
        <v>14905</v>
      </c>
      <c r="F7" s="24">
        <f t="shared" si="0"/>
        <v>-9095</v>
      </c>
      <c r="J7" s="21"/>
      <c r="K7" s="21"/>
      <c r="L7" s="21"/>
    </row>
    <row r="8" spans="1:12" x14ac:dyDescent="0.3">
      <c r="A8" s="23" t="s">
        <v>33</v>
      </c>
      <c r="B8" s="18" t="s">
        <v>31</v>
      </c>
      <c r="C8" s="18">
        <v>2022</v>
      </c>
      <c r="D8" s="19">
        <v>2500</v>
      </c>
      <c r="E8" s="19">
        <v>14906</v>
      </c>
      <c r="F8" s="24">
        <f t="shared" si="0"/>
        <v>12406</v>
      </c>
      <c r="J8" s="20" t="s">
        <v>37</v>
      </c>
      <c r="K8" s="21"/>
      <c r="L8" s="20" t="s">
        <v>40</v>
      </c>
    </row>
    <row r="9" spans="1:12" x14ac:dyDescent="0.3">
      <c r="A9" s="23" t="s">
        <v>33</v>
      </c>
      <c r="B9" s="18" t="s">
        <v>32</v>
      </c>
      <c r="C9" s="18">
        <v>2022</v>
      </c>
      <c r="D9" s="19">
        <v>34000</v>
      </c>
      <c r="E9" s="19">
        <v>14907</v>
      </c>
      <c r="F9" s="24">
        <f t="shared" si="0"/>
        <v>-19093</v>
      </c>
      <c r="J9" s="22">
        <f>COUNTIFS(Year,J2,Product,K2)</f>
        <v>3</v>
      </c>
      <c r="K9" s="21"/>
      <c r="L9" s="22"/>
    </row>
    <row r="10" spans="1:12" x14ac:dyDescent="0.3">
      <c r="A10" s="23" t="s">
        <v>34</v>
      </c>
      <c r="B10" s="18" t="s">
        <v>29</v>
      </c>
      <c r="C10" s="18">
        <v>2022</v>
      </c>
      <c r="D10" s="19">
        <v>23000</v>
      </c>
      <c r="E10" s="19">
        <v>14908</v>
      </c>
      <c r="F10" s="24">
        <f t="shared" si="0"/>
        <v>-8092</v>
      </c>
    </row>
    <row r="11" spans="1:12" x14ac:dyDescent="0.3">
      <c r="A11" s="23" t="s">
        <v>34</v>
      </c>
      <c r="B11" s="18" t="s">
        <v>30</v>
      </c>
      <c r="C11" s="18">
        <v>2022</v>
      </c>
      <c r="D11" s="19">
        <v>1500</v>
      </c>
      <c r="E11" s="19">
        <v>14909</v>
      </c>
      <c r="F11" s="24">
        <f t="shared" si="0"/>
        <v>13409</v>
      </c>
    </row>
    <row r="12" spans="1:12" x14ac:dyDescent="0.3">
      <c r="A12" s="23" t="s">
        <v>34</v>
      </c>
      <c r="B12" s="18" t="s">
        <v>31</v>
      </c>
      <c r="C12" s="18">
        <v>2022</v>
      </c>
      <c r="D12" s="19">
        <v>45000</v>
      </c>
      <c r="E12" s="19">
        <v>11000</v>
      </c>
      <c r="F12" s="24">
        <f t="shared" si="0"/>
        <v>-34000</v>
      </c>
    </row>
    <row r="13" spans="1:12" x14ac:dyDescent="0.3">
      <c r="A13" s="23" t="s">
        <v>28</v>
      </c>
      <c r="B13" s="18" t="s">
        <v>29</v>
      </c>
      <c r="C13" s="18">
        <v>2021</v>
      </c>
      <c r="D13" s="19">
        <v>13000</v>
      </c>
      <c r="E13" s="19">
        <v>12800</v>
      </c>
      <c r="F13" s="24">
        <f t="shared" si="0"/>
        <v>-200</v>
      </c>
    </row>
    <row r="14" spans="1:12" x14ac:dyDescent="0.3">
      <c r="A14" s="23" t="s">
        <v>28</v>
      </c>
      <c r="B14" s="18" t="s">
        <v>30</v>
      </c>
      <c r="C14" s="18">
        <v>2021</v>
      </c>
      <c r="D14" s="19">
        <v>11000</v>
      </c>
      <c r="E14" s="19">
        <v>11500</v>
      </c>
      <c r="F14" s="24">
        <f t="shared" si="0"/>
        <v>500</v>
      </c>
    </row>
    <row r="15" spans="1:12" x14ac:dyDescent="0.3">
      <c r="A15" s="23" t="s">
        <v>28</v>
      </c>
      <c r="B15" s="18" t="s">
        <v>31</v>
      </c>
      <c r="C15" s="18">
        <v>2021</v>
      </c>
      <c r="D15" s="19">
        <v>10000</v>
      </c>
      <c r="E15" s="19">
        <v>10600</v>
      </c>
      <c r="F15" s="24">
        <f t="shared" si="0"/>
        <v>600</v>
      </c>
    </row>
    <row r="16" spans="1:12" x14ac:dyDescent="0.3">
      <c r="A16" s="23" t="s">
        <v>28</v>
      </c>
      <c r="B16" s="18" t="s">
        <v>32</v>
      </c>
      <c r="C16" s="18">
        <v>2021</v>
      </c>
      <c r="D16" s="19">
        <v>12000</v>
      </c>
      <c r="E16" s="19">
        <v>12300</v>
      </c>
      <c r="F16" s="24">
        <f t="shared" si="0"/>
        <v>300</v>
      </c>
    </row>
    <row r="17" spans="1:6" x14ac:dyDescent="0.3">
      <c r="A17" s="23" t="s">
        <v>33</v>
      </c>
      <c r="B17" s="18" t="s">
        <v>29</v>
      </c>
      <c r="C17" s="18">
        <v>2021</v>
      </c>
      <c r="D17" s="19">
        <v>2000</v>
      </c>
      <c r="E17" s="19">
        <v>2500</v>
      </c>
      <c r="F17" s="24">
        <f t="shared" si="0"/>
        <v>500</v>
      </c>
    </row>
    <row r="18" spans="1:6" x14ac:dyDescent="0.3">
      <c r="A18" s="23" t="s">
        <v>33</v>
      </c>
      <c r="B18" s="18" t="s">
        <v>30</v>
      </c>
      <c r="C18" s="18">
        <v>2021</v>
      </c>
      <c r="D18" s="19">
        <v>22000</v>
      </c>
      <c r="E18" s="19">
        <v>21000</v>
      </c>
      <c r="F18" s="24">
        <f t="shared" si="0"/>
        <v>-1000</v>
      </c>
    </row>
    <row r="19" spans="1:6" x14ac:dyDescent="0.3">
      <c r="A19" s="23" t="s">
        <v>33</v>
      </c>
      <c r="B19" s="18" t="s">
        <v>31</v>
      </c>
      <c r="C19" s="18">
        <v>2021</v>
      </c>
      <c r="D19" s="19">
        <v>3000</v>
      </c>
      <c r="E19" s="19">
        <v>4000</v>
      </c>
      <c r="F19" s="24">
        <f t="shared" si="0"/>
        <v>1000</v>
      </c>
    </row>
    <row r="20" spans="1:6" x14ac:dyDescent="0.3">
      <c r="A20" s="23" t="s">
        <v>33</v>
      </c>
      <c r="B20" s="18" t="s">
        <v>32</v>
      </c>
      <c r="C20" s="18">
        <v>2021</v>
      </c>
      <c r="D20" s="19">
        <v>30000</v>
      </c>
      <c r="E20" s="19">
        <v>28000</v>
      </c>
      <c r="F20" s="24">
        <f t="shared" si="0"/>
        <v>-2000</v>
      </c>
    </row>
    <row r="21" spans="1:6" x14ac:dyDescent="0.3">
      <c r="A21" s="23" t="s">
        <v>34</v>
      </c>
      <c r="B21" s="18" t="s">
        <v>29</v>
      </c>
      <c r="C21" s="18">
        <v>2021</v>
      </c>
      <c r="D21" s="19">
        <v>20000</v>
      </c>
      <c r="E21" s="19">
        <v>19000</v>
      </c>
      <c r="F21" s="24">
        <f t="shared" si="0"/>
        <v>-1000</v>
      </c>
    </row>
    <row r="22" spans="1:6" x14ac:dyDescent="0.3">
      <c r="A22" s="23" t="s">
        <v>34</v>
      </c>
      <c r="B22" s="18" t="s">
        <v>30</v>
      </c>
      <c r="C22" s="18">
        <v>2021</v>
      </c>
      <c r="D22" s="19">
        <v>2000</v>
      </c>
      <c r="E22" s="19">
        <v>2800</v>
      </c>
      <c r="F22" s="24">
        <f t="shared" si="0"/>
        <v>800</v>
      </c>
    </row>
    <row r="23" spans="1:6" x14ac:dyDescent="0.3">
      <c r="A23" s="28" t="s">
        <v>34</v>
      </c>
      <c r="B23" s="29" t="s">
        <v>31</v>
      </c>
      <c r="C23" s="29">
        <v>2021</v>
      </c>
      <c r="D23" s="30">
        <v>40000</v>
      </c>
      <c r="E23" s="30">
        <v>38000</v>
      </c>
      <c r="F23" s="31">
        <f t="shared" si="0"/>
        <v>-2000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A4AB-2D51-4600-BBB8-9CD2BC0BFD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D2 S1</vt:lpstr>
      <vt:lpstr>Sheet2</vt:lpstr>
      <vt:lpstr>Sheet3</vt:lpstr>
      <vt:lpstr>B_Sales</vt:lpstr>
      <vt:lpstr>Product</vt:lpstr>
      <vt:lpstr>Sales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2025-11-18T08:25:29Z</dcterms:created>
  <dcterms:modified xsi:type="dcterms:W3CDTF">2025-11-18T10:30:34Z</dcterms:modified>
</cp:coreProperties>
</file>