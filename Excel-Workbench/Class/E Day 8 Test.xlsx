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Dhank\Documents\Data Analitics\Excel\Data\"/>
    </mc:Choice>
  </mc:AlternateContent>
  <xr:revisionPtr revIDLastSave="0" documentId="13_ncr:1_{1E2E8EC0-B31B-46CD-B68B-35475E31739E}" xr6:coauthVersionLast="47" xr6:coauthVersionMax="47" xr10:uidLastSave="{00000000-0000-0000-0000-000000000000}"/>
  <bookViews>
    <workbookView xWindow="-108" yWindow="-108" windowWidth="23256" windowHeight="13176" firstSheet="1" activeTab="4" xr2:uid="{00000000-000D-0000-FFFF-FFFF00000000}"/>
  </bookViews>
  <sheets>
    <sheet name="City_and_State" sheetId="2" r:id="rId1"/>
    <sheet name="VlookUp" sheetId="1" r:id="rId2"/>
    <sheet name="Hookup" sheetId="3" r:id="rId3"/>
    <sheet name="Sales_data_set" sheetId="4" r:id="rId4"/>
    <sheet name="Cansolidate Ans" sheetId="11" r:id="rId5"/>
    <sheet name="Cansolidate" sheetId="8" r:id="rId6"/>
    <sheet name="Match" sheetId="9" r:id="rId7"/>
    <sheet name="cansole1" sheetId="5" r:id="rId8"/>
    <sheet name="cansole2" sheetId="6" r:id="rId9"/>
    <sheet name="cansole3" sheetId="7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7" i="4" l="1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22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3" i="4"/>
  <c r="C32" i="3"/>
  <c r="C31" i="3"/>
  <c r="C30" i="3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3" i="1"/>
  <c r="K29" i="1"/>
  <c r="K28" i="1"/>
  <c r="K27" i="1"/>
  <c r="K26" i="1"/>
  <c r="C29" i="3"/>
</calcChain>
</file>

<file path=xl/sharedStrings.xml><?xml version="1.0" encoding="utf-8"?>
<sst xmlns="http://schemas.openxmlformats.org/spreadsheetml/2006/main" count="307" uniqueCount="117">
  <si>
    <t>City</t>
  </si>
  <si>
    <t>State</t>
  </si>
  <si>
    <t>Mumbai</t>
  </si>
  <si>
    <t>Maharashtra</t>
  </si>
  <si>
    <t>Udaipur</t>
  </si>
  <si>
    <t>Rajasthan</t>
  </si>
  <si>
    <t>Lucknow</t>
  </si>
  <si>
    <t>UP</t>
  </si>
  <si>
    <t>Surat</t>
  </si>
  <si>
    <t>Gujrat</t>
  </si>
  <si>
    <t>Banaras</t>
  </si>
  <si>
    <t>Indore</t>
  </si>
  <si>
    <t>MP</t>
  </si>
  <si>
    <t>Pune</t>
  </si>
  <si>
    <t>Bhopal</t>
  </si>
  <si>
    <t>Jyotpur</t>
  </si>
  <si>
    <t>Ahmdabaad</t>
  </si>
  <si>
    <t>Gorakhpur</t>
  </si>
  <si>
    <t>Name</t>
  </si>
  <si>
    <t>Age</t>
  </si>
  <si>
    <t>Salary</t>
  </si>
  <si>
    <t>TDS 3%</t>
  </si>
  <si>
    <t>Pass Out Year</t>
  </si>
  <si>
    <t>Ramesh</t>
  </si>
  <si>
    <t>Select the entire range or dataset and Name it as a "Employee" from Name Box.</t>
  </si>
  <si>
    <t>Mahesh</t>
  </si>
  <si>
    <t>Remove the blank columns at once.</t>
  </si>
  <si>
    <t>Suresh</t>
  </si>
  <si>
    <t>Make the headers as bold and also make the background light blue.</t>
  </si>
  <si>
    <t>Jayesh</t>
  </si>
  <si>
    <t>Give a border to the dataset ( or range).</t>
  </si>
  <si>
    <t>Jitesh</t>
  </si>
  <si>
    <r>
      <rPr>
        <sz val="11"/>
        <color theme="1"/>
        <rFont val="Calibri"/>
        <family val="2"/>
        <scheme val="minor"/>
      </rPr>
      <t xml:space="preserve">Change the font size of headers at once to </t>
    </r>
    <r>
      <rPr>
        <b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>.</t>
    </r>
  </si>
  <si>
    <t xml:space="preserve">  </t>
  </si>
  <si>
    <t>Gitesh</t>
  </si>
  <si>
    <t>Change the Data to there respected data-type of each column. (e.g. Name is should be "Text")</t>
  </si>
  <si>
    <t>kamlesh</t>
  </si>
  <si>
    <t xml:space="preserve">Column </t>
  </si>
  <si>
    <t>Data Type</t>
  </si>
  <si>
    <t>Hitesh</t>
  </si>
  <si>
    <t>Text</t>
  </si>
  <si>
    <t>Jay</t>
  </si>
  <si>
    <t xml:space="preserve">Age </t>
  </si>
  <si>
    <t>Number</t>
  </si>
  <si>
    <t>(* with no decimal values)</t>
  </si>
  <si>
    <t>ajay</t>
  </si>
  <si>
    <t>Accounts</t>
  </si>
  <si>
    <t>Rajesh</t>
  </si>
  <si>
    <t xml:space="preserve">City </t>
  </si>
  <si>
    <t>Sujay</t>
  </si>
  <si>
    <t>Sanjay</t>
  </si>
  <si>
    <t>Dhananjay</t>
  </si>
  <si>
    <t>Highlight the entire rows whose age is less then 30 in red color.</t>
  </si>
  <si>
    <t>Nirjay</t>
  </si>
  <si>
    <t>Find the TDS 3% of salary for each person.</t>
  </si>
  <si>
    <t>Rohan</t>
  </si>
  <si>
    <t>Mizoram</t>
  </si>
  <si>
    <t>Use the City_and_State sheet and fill the Sate column of current sheet using lookup.</t>
  </si>
  <si>
    <t>Handle the N/A or any other error if occure.</t>
  </si>
  <si>
    <t>Find the following data of "Gitesh" using Vlookup.</t>
  </si>
  <si>
    <t>Pass out Yr</t>
  </si>
  <si>
    <t>Go to "Data Set 1" and copy the entire data and paste by using Transpore property so the data should look like above.</t>
  </si>
  <si>
    <t>Remove the blank rows at once if any..</t>
  </si>
  <si>
    <t>Fill the State row use the "City_and_state" sheet while using loop.</t>
  </si>
  <si>
    <t>Select the entire range or dataset and Name it as a "Employee_2" from Name Box.</t>
  </si>
  <si>
    <t>Bold the headers and also make the background light blue.</t>
  </si>
  <si>
    <t>Give a border to the dataset or range.</t>
  </si>
  <si>
    <t>Change the font size of headers at once.</t>
  </si>
  <si>
    <t>Highlight the entire rows whose age is less then 30.</t>
  </si>
  <si>
    <t>Find the following data of "Gitesh" using Hlookup.</t>
  </si>
  <si>
    <t>Sales</t>
  </si>
  <si>
    <t>Commission %</t>
  </si>
  <si>
    <t>Rating</t>
  </si>
  <si>
    <t>Min Range</t>
  </si>
  <si>
    <t>Max Range</t>
  </si>
  <si>
    <t>Above</t>
  </si>
  <si>
    <t>Use lookups.</t>
  </si>
  <si>
    <t>Base on sales range commission % and rating are give use above table and fill the data.</t>
  </si>
  <si>
    <t>Use Hlookup and fill the data.</t>
  </si>
  <si>
    <t>Sales of Finacial Year 2019-20</t>
  </si>
  <si>
    <t>Product</t>
  </si>
  <si>
    <t>Q1</t>
  </si>
  <si>
    <t>Q2</t>
  </si>
  <si>
    <t>Q3</t>
  </si>
  <si>
    <t>Q4</t>
  </si>
  <si>
    <t>Laptop</t>
  </si>
  <si>
    <t>Mobile</t>
  </si>
  <si>
    <t>Washing Machine</t>
  </si>
  <si>
    <t>Smart Watches</t>
  </si>
  <si>
    <t>Tabs</t>
  </si>
  <si>
    <t>Smart Pens</t>
  </si>
  <si>
    <t>Sales of Finacial Year 2018-19</t>
  </si>
  <si>
    <t>Sales of Finacial Year 2017-16</t>
  </si>
  <si>
    <t>Use the consolidate .</t>
  </si>
  <si>
    <t>Find the total sales of each product from year 17-16 to 19-18</t>
  </si>
  <si>
    <t>(i.e. from Cansole 1 to 3)</t>
  </si>
  <si>
    <t>Find the max sales of each product from year 17-16 to 19-19</t>
  </si>
  <si>
    <t>Find the min sales of each product from year 17-16 to 19-20</t>
  </si>
  <si>
    <t>Find the average sales of each product from year 17-16 to 19-21</t>
  </si>
  <si>
    <t xml:space="preserve">Note: </t>
  </si>
  <si>
    <t>In output header row and Product column should be there.</t>
  </si>
  <si>
    <r>
      <rPr>
        <sz val="11"/>
        <color theme="1"/>
        <rFont val="Calibri"/>
        <family val="2"/>
        <scheme val="minor"/>
      </rPr>
      <t xml:space="preserve">If there will be any change in main data there should </t>
    </r>
    <r>
      <rPr>
        <b/>
        <sz val="11"/>
        <color theme="1"/>
        <rFont val="Calibri"/>
        <family val="2"/>
        <scheme val="minor"/>
      </rPr>
      <t>not be change</t>
    </r>
    <r>
      <rPr>
        <sz val="11"/>
        <color theme="1"/>
        <rFont val="Calibri"/>
        <family val="2"/>
        <scheme val="minor"/>
      </rPr>
      <t xml:space="preserve"> in consolidated data.</t>
    </r>
  </si>
  <si>
    <r>
      <rPr>
        <sz val="11"/>
        <color theme="1"/>
        <rFont val="Calibri"/>
        <family val="2"/>
        <scheme val="minor"/>
      </rPr>
      <t xml:space="preserve">If there will be any change in main data set </t>
    </r>
    <r>
      <rPr>
        <b/>
        <sz val="11"/>
        <color theme="1"/>
        <rFont val="Calibri"/>
        <family val="2"/>
        <scheme val="minor"/>
      </rPr>
      <t>change should be reflected</t>
    </r>
    <r>
      <rPr>
        <sz val="11"/>
        <color theme="1"/>
        <rFont val="Calibri"/>
        <family val="2"/>
        <scheme val="minor"/>
      </rPr>
      <t xml:space="preserve"> in consolidated data.</t>
    </r>
  </si>
  <si>
    <t>Hint* :</t>
  </si>
  <si>
    <t>Will have 4 different table for each Question.</t>
  </si>
  <si>
    <t>What is the Column Number of Q1.</t>
  </si>
  <si>
    <t>What is the column number of Smart Watches.</t>
  </si>
  <si>
    <t>What is the column number of Q4.</t>
  </si>
  <si>
    <t>What is the row number of 43,003.</t>
  </si>
  <si>
    <t>What is the row number of Q4.</t>
  </si>
  <si>
    <t xml:space="preserve">Questipn </t>
  </si>
  <si>
    <t>Ans</t>
  </si>
  <si>
    <t>B</t>
  </si>
  <si>
    <t>A6</t>
  </si>
  <si>
    <t>E</t>
  </si>
  <si>
    <t>E8</t>
  </si>
  <si>
    <t>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</si>
</sst>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(&quot;$&quot;* #,##0_);_(&quot;$&quot;* \(#,##0\);_(&quot;$&quot;* &quot;-&quot;??_);_(@_)"/>
  </numFmts>
  <fonts count="1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5117038483843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>
      <alignment vertical="center"/>
    </xf>
    <xf numFmtId="9" fontId="12" fillId="0" borderId="0" applyFont="0" applyFill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164" fontId="4" fillId="3" borderId="1" xfId="0" applyNumberFormat="1" applyFont="1" applyFill="1" applyBorder="1" applyAlignment="1">
      <alignment horizontal="center" vertical="center"/>
    </xf>
    <xf numFmtId="0" fontId="0" fillId="4" borderId="0" xfId="0" applyFill="1">
      <alignment vertical="center"/>
    </xf>
    <xf numFmtId="164" fontId="4" fillId="0" borderId="1" xfId="0" applyNumberFormat="1" applyFont="1" applyBorder="1" applyAlignment="1">
      <alignment horizontal="center" vertical="center"/>
    </xf>
    <xf numFmtId="0" fontId="0" fillId="4" borderId="0" xfId="0" applyFont="1" applyFill="1">
      <alignment vertical="center"/>
    </xf>
    <xf numFmtId="0" fontId="5" fillId="0" borderId="0" xfId="0" applyFont="1">
      <alignment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64" fontId="6" fillId="0" borderId="2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2" xfId="0" applyFont="1" applyBorder="1">
      <alignment vertical="center"/>
    </xf>
    <xf numFmtId="164" fontId="9" fillId="0" borderId="3" xfId="0" applyNumberFormat="1" applyFont="1" applyBorder="1" applyAlignment="1">
      <alignment horizontal="center" vertical="center"/>
    </xf>
    <xf numFmtId="0" fontId="9" fillId="0" borderId="3" xfId="0" applyFont="1" applyBorder="1">
      <alignment vertical="center"/>
    </xf>
    <xf numFmtId="0" fontId="8" fillId="2" borderId="1" xfId="0" applyFont="1" applyFill="1" applyBorder="1">
      <alignment vertical="center"/>
    </xf>
    <xf numFmtId="164" fontId="10" fillId="0" borderId="1" xfId="0" applyNumberFormat="1" applyFont="1" applyBorder="1">
      <alignment vertical="center"/>
    </xf>
    <xf numFmtId="0" fontId="0" fillId="0" borderId="0" xfId="0" applyFont="1">
      <alignment vertical="center"/>
    </xf>
    <xf numFmtId="164" fontId="9" fillId="0" borderId="4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>
      <alignment vertical="center"/>
    </xf>
    <xf numFmtId="9" fontId="0" fillId="0" borderId="1" xfId="0" applyNumberFormat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5" borderId="0" xfId="0" applyFill="1">
      <alignment vertical="center"/>
    </xf>
    <xf numFmtId="0" fontId="10" fillId="2" borderId="1" xfId="0" applyFont="1" applyFill="1" applyBorder="1">
      <alignment vertical="center"/>
    </xf>
    <xf numFmtId="0" fontId="10" fillId="3" borderId="1" xfId="0" applyFont="1" applyFill="1" applyBorder="1">
      <alignment vertical="center"/>
    </xf>
    <xf numFmtId="0" fontId="11" fillId="0" borderId="0" xfId="0" applyFont="1">
      <alignment vertical="center"/>
    </xf>
    <xf numFmtId="0" fontId="8" fillId="6" borderId="1" xfId="0" applyFont="1" applyFill="1" applyBorder="1" applyAlignment="1">
      <alignment horizontal="left" vertical="center"/>
    </xf>
    <xf numFmtId="0" fontId="0" fillId="7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8" fillId="6" borderId="1" xfId="0" applyFont="1" applyFill="1" applyBorder="1">
      <alignment vertical="center"/>
    </xf>
    <xf numFmtId="0" fontId="6" fillId="5" borderId="0" xfId="0" applyFont="1" applyFill="1">
      <alignment vertical="center"/>
    </xf>
    <xf numFmtId="9" fontId="9" fillId="0" borderId="3" xfId="1" applyFont="1" applyBorder="1" applyAlignment="1">
      <alignment horizontal="center" vertical="center"/>
    </xf>
    <xf numFmtId="0" fontId="5" fillId="0" borderId="1" xfId="0" applyFont="1" applyBorder="1">
      <alignment vertical="center"/>
    </xf>
    <xf numFmtId="0" fontId="0" fillId="0" borderId="1" xfId="0" applyBorder="1">
      <alignment vertical="center"/>
    </xf>
    <xf numFmtId="0" fontId="0" fillId="0" borderId="15" xfId="0" applyBorder="1">
      <alignment vertical="center"/>
    </xf>
    <xf numFmtId="0" fontId="0" fillId="0" borderId="5" xfId="0" applyBorder="1">
      <alignment vertical="center"/>
    </xf>
    <xf numFmtId="0" fontId="0" fillId="0" borderId="16" xfId="0" applyBorder="1">
      <alignment vertical="center"/>
    </xf>
    <xf numFmtId="0" fontId="0" fillId="0" borderId="6" xfId="0" applyBorder="1">
      <alignment vertical="center"/>
    </xf>
    <xf numFmtId="0" fontId="2" fillId="0" borderId="1" xfId="0" applyFont="1" applyBorder="1">
      <alignment vertical="center"/>
    </xf>
    <xf numFmtId="0" fontId="0" fillId="0" borderId="0" xfId="0" applyAlignment="1">
      <alignment horizontal="center" vertical="center"/>
    </xf>
    <xf numFmtId="0" fontId="8" fillId="6" borderId="1" xfId="0" applyFont="1" applyFill="1" applyBorder="1" applyAlignment="1">
      <alignment horizontal="left" vertical="center" wrapText="1"/>
    </xf>
    <xf numFmtId="0" fontId="0" fillId="7" borderId="1" xfId="0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</cellXfs>
  <cellStyles count="2">
    <cellStyle name="Normal" xfId="0" builtinId="0"/>
    <cellStyle name="Per cent" xfId="1" builtinId="5"/>
  </cellStyles>
  <dxfs count="31">
    <dxf>
      <fill>
        <patternFill patternType="solid">
          <bgColor theme="4" tint="-0.499984740745262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4" tint="-0.499984740745262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4" tint="-0.499984740745262"/>
        </patternFill>
      </fill>
    </dxf>
    <dxf>
      <fill>
        <patternFill patternType="solid">
          <bgColor theme="4" tint="-0.499984740745262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4" tint="-0.499984740745262"/>
        </patternFill>
      </fill>
    </dxf>
    <dxf>
      <fill>
        <patternFill patternType="solid">
          <bgColor theme="4" tint="-0.499984740745262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4" tint="-0.499984740745262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4" tint="-0.499984740745262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30"/>
      <tableStyleElement type="headerRow" dxfId="29"/>
      <tableStyleElement type="totalRow" dxfId="28"/>
      <tableStyleElement type="firstColumn" dxfId="27"/>
      <tableStyleElement type="lastColumn" dxfId="26"/>
      <tableStyleElement type="firstRowStripe" dxfId="25"/>
      <tableStyleElement type="firstColumnStripe" dxfId="24"/>
    </tableStyle>
    <tableStyle name="PivotStylePreset2_Accent1" table="0" count="10" xr9:uid="{267968C8-6FFD-4C36-ACC1-9EA1FD1885CA}">
      <tableStyleElement type="headerRow" dxfId="23"/>
      <tableStyleElement type="totalRow" dxfId="22"/>
      <tableStyleElement type="firstRowStripe" dxfId="21"/>
      <tableStyleElement type="firstColumnStripe" dxfId="20"/>
      <tableStyleElement type="firstSubtotalRow" dxfId="19"/>
      <tableStyleElement type="secondSubtotalRow" dxfId="18"/>
      <tableStyleElement type="firstRowSubheading" dxfId="17"/>
      <tableStyleElement type="secondRowSubheading" dxfId="16"/>
      <tableStyleElement type="pageFieldLabels" dxfId="15"/>
      <tableStyleElement type="pageFieldValues" dxfId="1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3:E14"/>
  <sheetViews>
    <sheetView workbookViewId="0">
      <selection activeCell="D19" sqref="D19"/>
    </sheetView>
  </sheetViews>
  <sheetFormatPr defaultColWidth="9.109375" defaultRowHeight="14.4"/>
  <cols>
    <col min="1" max="1" width="12.44140625" customWidth="1"/>
    <col min="2" max="2" width="12.88671875" customWidth="1"/>
    <col min="4" max="4" width="12.44140625" customWidth="1"/>
    <col min="5" max="5" width="12.88671875" customWidth="1"/>
  </cols>
  <sheetData>
    <row r="3" spans="4:5" ht="21">
      <c r="D3" s="37" t="s">
        <v>0</v>
      </c>
      <c r="E3" s="37" t="s">
        <v>1</v>
      </c>
    </row>
    <row r="4" spans="4:5">
      <c r="D4" s="2" t="s">
        <v>2</v>
      </c>
      <c r="E4" s="2" t="s">
        <v>3</v>
      </c>
    </row>
    <row r="5" spans="4:5">
      <c r="D5" s="2" t="s">
        <v>4</v>
      </c>
      <c r="E5" s="2" t="s">
        <v>5</v>
      </c>
    </row>
    <row r="6" spans="4:5">
      <c r="D6" s="2" t="s">
        <v>6</v>
      </c>
      <c r="E6" s="2" t="s">
        <v>7</v>
      </c>
    </row>
    <row r="7" spans="4:5">
      <c r="D7" s="2" t="s">
        <v>8</v>
      </c>
      <c r="E7" s="2" t="s">
        <v>9</v>
      </c>
    </row>
    <row r="8" spans="4:5">
      <c r="D8" s="2" t="s">
        <v>10</v>
      </c>
      <c r="E8" s="2" t="s">
        <v>7</v>
      </c>
    </row>
    <row r="9" spans="4:5">
      <c r="D9" s="2" t="s">
        <v>11</v>
      </c>
      <c r="E9" s="2" t="s">
        <v>12</v>
      </c>
    </row>
    <row r="10" spans="4:5">
      <c r="D10" s="2" t="s">
        <v>13</v>
      </c>
      <c r="E10" s="2" t="s">
        <v>3</v>
      </c>
    </row>
    <row r="11" spans="4:5">
      <c r="D11" s="2" t="s">
        <v>14</v>
      </c>
      <c r="E11" s="2" t="s">
        <v>12</v>
      </c>
    </row>
    <row r="12" spans="4:5">
      <c r="D12" s="2" t="s">
        <v>15</v>
      </c>
      <c r="E12" s="2" t="s">
        <v>5</v>
      </c>
    </row>
    <row r="13" spans="4:5">
      <c r="D13" s="2" t="s">
        <v>16</v>
      </c>
      <c r="E13" s="2" t="s">
        <v>9</v>
      </c>
    </row>
    <row r="14" spans="4:5">
      <c r="D14" s="2" t="s">
        <v>17</v>
      </c>
      <c r="E14" s="2" t="s">
        <v>7</v>
      </c>
    </row>
  </sheetData>
  <conditionalFormatting sqref="D4:E4">
    <cfRule type="expression" dxfId="13" priority="1">
      <formula>OR($D2="Mumbai",$E2&gt;60000)</formula>
    </cfRule>
    <cfRule type="expression" dxfId="12" priority="2">
      <formula>OR(#REF!="Mumbai",#REF!&gt;60000)</formula>
    </cfRule>
  </conditionalFormatting>
  <conditionalFormatting sqref="D5:E14">
    <cfRule type="expression" dxfId="11" priority="3">
      <formula>OR(#REF!="Mumbai",#REF!&gt;60000)</formula>
    </cfRule>
    <cfRule type="expression" dxfId="10" priority="4">
      <formula>OR($D15="Mumbai",$E15&gt;60000)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R29"/>
  <sheetViews>
    <sheetView topLeftCell="A13" workbookViewId="0">
      <selection activeCell="I12" sqref="I12"/>
    </sheetView>
  </sheetViews>
  <sheetFormatPr defaultColWidth="9.109375" defaultRowHeight="14.4"/>
  <cols>
    <col min="1" max="1" width="11" customWidth="1"/>
    <col min="2" max="2" width="5" customWidth="1"/>
    <col min="3" max="4" width="6.88671875" customWidth="1"/>
    <col min="5" max="5" width="13.88671875" customWidth="1"/>
    <col min="6" max="6" width="12.44140625" customWidth="1"/>
    <col min="7" max="7" width="12.77734375" customWidth="1"/>
    <col min="10" max="10" width="13.6640625" customWidth="1"/>
    <col min="11" max="11" width="11.33203125" customWidth="1"/>
  </cols>
  <sheetData>
    <row r="2" spans="1:18">
      <c r="A2" s="21" t="s">
        <v>18</v>
      </c>
      <c r="B2" s="22" t="s">
        <v>19</v>
      </c>
      <c r="C2" s="22" t="s">
        <v>20</v>
      </c>
      <c r="D2" s="22" t="s">
        <v>21</v>
      </c>
      <c r="E2" s="22" t="s">
        <v>22</v>
      </c>
      <c r="F2" s="22" t="s">
        <v>0</v>
      </c>
      <c r="G2" s="33" t="s">
        <v>1</v>
      </c>
    </row>
    <row r="3" spans="1:18">
      <c r="A3" s="23" t="s">
        <v>23</v>
      </c>
      <c r="B3">
        <v>21</v>
      </c>
      <c r="C3">
        <v>25800</v>
      </c>
      <c r="E3">
        <v>2016</v>
      </c>
      <c r="F3" t="s">
        <v>2</v>
      </c>
      <c r="G3" s="34" t="str">
        <f>_xlfn.XLOOKUP(F3,City_and_State!$D$4:$D$14,City_and_State!$E$4:$E$14,0)</f>
        <v>Maharashtra</v>
      </c>
      <c r="J3" s="26" t="s">
        <v>24</v>
      </c>
      <c r="K3" s="26"/>
      <c r="L3" s="26"/>
      <c r="M3" s="26"/>
      <c r="N3" s="26"/>
      <c r="O3" s="26"/>
      <c r="P3" s="26"/>
      <c r="Q3" s="26"/>
      <c r="R3" s="26"/>
    </row>
    <row r="4" spans="1:18">
      <c r="A4" s="23" t="s">
        <v>25</v>
      </c>
      <c r="B4">
        <v>43</v>
      </c>
      <c r="C4">
        <v>73000</v>
      </c>
      <c r="E4">
        <v>2014</v>
      </c>
      <c r="F4" t="s">
        <v>4</v>
      </c>
      <c r="G4" s="34" t="str">
        <f>_xlfn.XLOOKUP(F4,City_and_State!$D$4:$D$14,City_and_State!$E$4:$E$14,0)</f>
        <v>Rajasthan</v>
      </c>
      <c r="J4" s="26" t="s">
        <v>26</v>
      </c>
      <c r="K4" s="26"/>
      <c r="L4" s="26"/>
      <c r="M4" s="26"/>
      <c r="N4" s="26"/>
      <c r="O4" s="26"/>
      <c r="P4" s="26"/>
      <c r="Q4" s="26"/>
      <c r="R4" s="26"/>
    </row>
    <row r="5" spans="1:18">
      <c r="A5" s="23" t="s">
        <v>27</v>
      </c>
      <c r="B5">
        <v>32</v>
      </c>
      <c r="C5">
        <v>54999</v>
      </c>
      <c r="E5">
        <v>2016</v>
      </c>
      <c r="F5" t="s">
        <v>6</v>
      </c>
      <c r="G5" s="34" t="str">
        <f>_xlfn.XLOOKUP(F5,City_and_State!$D$4:$D$14,City_and_State!$E$4:$E$14,0)</f>
        <v>UP</v>
      </c>
      <c r="J5" s="26" t="s">
        <v>28</v>
      </c>
      <c r="K5" s="26"/>
      <c r="L5" s="26"/>
      <c r="M5" s="26"/>
      <c r="N5" s="26"/>
      <c r="O5" s="26"/>
      <c r="P5" s="26"/>
      <c r="Q5" s="26"/>
      <c r="R5" s="26"/>
    </row>
    <row r="6" spans="1:18">
      <c r="A6" s="23" t="s">
        <v>29</v>
      </c>
      <c r="B6">
        <v>24</v>
      </c>
      <c r="C6">
        <v>45969</v>
      </c>
      <c r="E6">
        <v>2017</v>
      </c>
      <c r="F6" t="s">
        <v>8</v>
      </c>
      <c r="G6" s="34" t="str">
        <f>_xlfn.XLOOKUP(F6,City_and_State!$D$4:$D$14,City_and_State!$E$4:$E$14,0)</f>
        <v>Gujrat</v>
      </c>
      <c r="H6" s="15"/>
      <c r="J6" s="26" t="s">
        <v>30</v>
      </c>
      <c r="K6" s="26"/>
      <c r="L6" s="26"/>
      <c r="M6" s="26"/>
      <c r="N6" s="26"/>
      <c r="O6" s="26"/>
      <c r="P6" s="26"/>
      <c r="Q6" s="26"/>
      <c r="R6" s="26"/>
    </row>
    <row r="7" spans="1:18">
      <c r="A7" s="23" t="s">
        <v>31</v>
      </c>
      <c r="B7">
        <v>43</v>
      </c>
      <c r="C7">
        <v>65999</v>
      </c>
      <c r="E7">
        <v>2014</v>
      </c>
      <c r="F7" t="s">
        <v>10</v>
      </c>
      <c r="G7" s="34" t="str">
        <f>_xlfn.XLOOKUP(F7,City_and_State!$D$4:$D$14,City_and_State!$E$4:$E$14,0)</f>
        <v>UP</v>
      </c>
      <c r="J7" s="26" t="s">
        <v>32</v>
      </c>
      <c r="K7" s="26"/>
      <c r="L7" s="26"/>
      <c r="M7" s="26"/>
      <c r="N7" s="26"/>
      <c r="O7" s="26"/>
      <c r="P7" s="26" t="s">
        <v>33</v>
      </c>
      <c r="Q7" s="26"/>
      <c r="R7" s="26"/>
    </row>
    <row r="8" spans="1:18">
      <c r="A8" s="23" t="s">
        <v>34</v>
      </c>
      <c r="B8">
        <v>34</v>
      </c>
      <c r="C8">
        <v>85000</v>
      </c>
      <c r="E8">
        <v>2016</v>
      </c>
      <c r="F8" t="s">
        <v>11</v>
      </c>
      <c r="G8" s="34" t="str">
        <f>_xlfn.XLOOKUP(F8,City_and_State!$D$4:$D$14,City_and_State!$E$4:$E$14,0)</f>
        <v>MP</v>
      </c>
      <c r="J8" s="26" t="s">
        <v>35</v>
      </c>
      <c r="K8" s="26"/>
      <c r="L8" s="26"/>
      <c r="M8" s="26"/>
      <c r="N8" s="26"/>
      <c r="O8" s="26"/>
      <c r="P8" s="26"/>
      <c r="Q8" s="26"/>
      <c r="R8" s="26"/>
    </row>
    <row r="9" spans="1:18">
      <c r="A9" s="23" t="s">
        <v>36</v>
      </c>
      <c r="B9">
        <v>32</v>
      </c>
      <c r="C9">
        <v>55869</v>
      </c>
      <c r="E9">
        <v>2016</v>
      </c>
      <c r="F9" t="s">
        <v>2</v>
      </c>
      <c r="G9" s="34" t="str">
        <f>_xlfn.XLOOKUP(F9,City_and_State!$D$4:$D$14,City_and_State!$E$4:$E$14,0)</f>
        <v>Maharashtra</v>
      </c>
      <c r="K9" s="27" t="s">
        <v>37</v>
      </c>
      <c r="L9" s="27" t="s">
        <v>38</v>
      </c>
    </row>
    <row r="10" spans="1:18">
      <c r="A10" s="23" t="s">
        <v>39</v>
      </c>
      <c r="B10">
        <v>43</v>
      </c>
      <c r="C10">
        <v>58399</v>
      </c>
      <c r="E10">
        <v>2014</v>
      </c>
      <c r="F10" t="s">
        <v>13</v>
      </c>
      <c r="G10" s="34" t="str">
        <f>_xlfn.XLOOKUP(F10,City_and_State!$D$4:$D$14,City_and_State!$E$4:$E$14,0)</f>
        <v>Maharashtra</v>
      </c>
      <c r="K10" s="28" t="s">
        <v>18</v>
      </c>
      <c r="L10" s="28" t="s">
        <v>40</v>
      </c>
    </row>
    <row r="11" spans="1:18">
      <c r="A11" s="23" t="s">
        <v>41</v>
      </c>
      <c r="B11">
        <v>23</v>
      </c>
      <c r="C11">
        <v>45858</v>
      </c>
      <c r="E11">
        <v>2019</v>
      </c>
      <c r="F11" t="s">
        <v>14</v>
      </c>
      <c r="G11" s="34" t="str">
        <f>_xlfn.XLOOKUP(F11,City_and_State!$D$4:$D$14,City_and_State!$E$4:$E$14,0)</f>
        <v>MP</v>
      </c>
      <c r="K11" s="28" t="s">
        <v>42</v>
      </c>
      <c r="L11" s="28" t="s">
        <v>43</v>
      </c>
      <c r="M11" s="29" t="s">
        <v>44</v>
      </c>
    </row>
    <row r="12" spans="1:18">
      <c r="A12" s="23" t="s">
        <v>45</v>
      </c>
      <c r="B12">
        <v>25</v>
      </c>
      <c r="C12">
        <v>46899</v>
      </c>
      <c r="E12">
        <v>2019</v>
      </c>
      <c r="F12" t="s">
        <v>11</v>
      </c>
      <c r="G12" s="34" t="str">
        <f>_xlfn.XLOOKUP(F12,City_and_State!$D$4:$D$14,City_and_State!$E$4:$E$14,0)</f>
        <v>MP</v>
      </c>
      <c r="K12" s="28" t="s">
        <v>20</v>
      </c>
      <c r="L12" s="28" t="s">
        <v>46</v>
      </c>
    </row>
    <row r="13" spans="1:18">
      <c r="A13" s="23" t="s">
        <v>47</v>
      </c>
      <c r="B13">
        <v>28</v>
      </c>
      <c r="C13">
        <v>23500</v>
      </c>
      <c r="E13">
        <v>2016</v>
      </c>
      <c r="F13" t="s">
        <v>15</v>
      </c>
      <c r="G13" s="34" t="str">
        <f>_xlfn.XLOOKUP(F13,City_and_State!$D$4:$D$14,City_and_State!$E$4:$E$14,0)</f>
        <v>Rajasthan</v>
      </c>
      <c r="K13" s="28" t="s">
        <v>48</v>
      </c>
      <c r="L13" s="28" t="s">
        <v>40</v>
      </c>
    </row>
    <row r="14" spans="1:18">
      <c r="A14" s="23" t="s">
        <v>49</v>
      </c>
      <c r="B14">
        <v>32</v>
      </c>
      <c r="C14">
        <v>38000</v>
      </c>
      <c r="E14">
        <v>2014</v>
      </c>
      <c r="F14" t="s">
        <v>16</v>
      </c>
      <c r="G14" s="34" t="str">
        <f>_xlfn.XLOOKUP(F14,City_and_State!$D$4:$D$14,City_and_State!$E$4:$E$14,0)</f>
        <v>Gujrat</v>
      </c>
      <c r="K14" s="28" t="s">
        <v>1</v>
      </c>
      <c r="L14" s="28" t="s">
        <v>40</v>
      </c>
    </row>
    <row r="15" spans="1:18">
      <c r="A15" s="23" t="s">
        <v>50</v>
      </c>
      <c r="B15">
        <v>43</v>
      </c>
      <c r="C15">
        <v>28500</v>
      </c>
      <c r="E15">
        <v>2019</v>
      </c>
      <c r="F15" t="s">
        <v>8</v>
      </c>
      <c r="G15" s="34" t="str">
        <f>_xlfn.XLOOKUP(F15,City_and_State!$D$4:$D$14,City_and_State!$E$4:$E$14,0)</f>
        <v>Gujrat</v>
      </c>
    </row>
    <row r="16" spans="1:18">
      <c r="A16" s="23" t="s">
        <v>51</v>
      </c>
      <c r="B16">
        <v>20</v>
      </c>
      <c r="C16">
        <v>48800</v>
      </c>
      <c r="E16">
        <v>2019</v>
      </c>
      <c r="F16" t="s">
        <v>17</v>
      </c>
      <c r="G16" s="34" t="str">
        <f>_xlfn.XLOOKUP(F16,City_and_State!$D$4:$D$14,City_and_State!$E$4:$E$14,0)</f>
        <v>UP</v>
      </c>
      <c r="J16" s="26" t="s">
        <v>52</v>
      </c>
      <c r="K16" s="26"/>
      <c r="L16" s="26"/>
      <c r="M16" s="26"/>
      <c r="N16" s="26"/>
      <c r="O16" s="26"/>
      <c r="P16" s="26"/>
      <c r="Q16" s="26"/>
      <c r="R16" s="26"/>
    </row>
    <row r="17" spans="1:18">
      <c r="A17" s="23" t="s">
        <v>53</v>
      </c>
      <c r="B17">
        <v>37</v>
      </c>
      <c r="C17">
        <v>57300</v>
      </c>
      <c r="E17">
        <v>2014</v>
      </c>
      <c r="F17" t="s">
        <v>13</v>
      </c>
      <c r="G17" s="34" t="str">
        <f>_xlfn.XLOOKUP(F17,City_and_State!$D$4:$D$14,City_and_State!$E$4:$E$14,0)</f>
        <v>Maharashtra</v>
      </c>
      <c r="J17" s="26" t="s">
        <v>54</v>
      </c>
      <c r="K17" s="26"/>
      <c r="L17" s="26"/>
      <c r="M17" s="26"/>
      <c r="N17" s="26"/>
      <c r="O17" s="26"/>
      <c r="P17" s="26"/>
      <c r="Q17" s="26"/>
      <c r="R17" s="26"/>
    </row>
    <row r="18" spans="1:18">
      <c r="A18" s="24" t="s">
        <v>55</v>
      </c>
      <c r="B18" s="25">
        <v>19</v>
      </c>
      <c r="C18" s="25">
        <v>25000</v>
      </c>
      <c r="D18" s="25"/>
      <c r="E18" s="25">
        <v>2015</v>
      </c>
      <c r="F18" s="25" t="s">
        <v>56</v>
      </c>
      <c r="G18" s="34">
        <f>_xlfn.XLOOKUP(F18,City_and_State!$D$4:$D$14,City_and_State!$E$4:$E$14,0)</f>
        <v>0</v>
      </c>
    </row>
    <row r="20" spans="1:18">
      <c r="J20" s="26" t="s">
        <v>57</v>
      </c>
      <c r="K20" s="26"/>
      <c r="L20" s="26"/>
      <c r="M20" s="26"/>
      <c r="N20" s="26"/>
      <c r="O20" s="26"/>
      <c r="P20" s="26"/>
      <c r="Q20" s="26"/>
      <c r="R20" s="26"/>
    </row>
    <row r="21" spans="1:18">
      <c r="J21" s="26" t="s">
        <v>58</v>
      </c>
      <c r="K21" s="26"/>
      <c r="L21" s="26"/>
      <c r="M21" s="26"/>
      <c r="N21" s="26"/>
      <c r="O21" s="26"/>
      <c r="P21" s="26"/>
      <c r="Q21" s="26"/>
      <c r="R21" s="26"/>
    </row>
    <row r="23" spans="1:18">
      <c r="J23" s="15" t="s">
        <v>59</v>
      </c>
    </row>
    <row r="24" spans="1:18" ht="18">
      <c r="J24" s="36" t="s">
        <v>18</v>
      </c>
      <c r="K24" s="31" t="s">
        <v>34</v>
      </c>
    </row>
    <row r="26" spans="1:18" ht="18">
      <c r="J26" s="36" t="s">
        <v>19</v>
      </c>
      <c r="K26" s="32">
        <f>VLOOKUP(K24,A3:F18,2,FALSE)</f>
        <v>34</v>
      </c>
    </row>
    <row r="27" spans="1:18" ht="18">
      <c r="J27" s="36" t="s">
        <v>20</v>
      </c>
      <c r="K27" s="32">
        <f>VLOOKUP(K24,A2:G18,3,FALSE)</f>
        <v>85000</v>
      </c>
    </row>
    <row r="28" spans="1:18" ht="18">
      <c r="J28" s="36" t="s">
        <v>0</v>
      </c>
      <c r="K28" s="32" t="str">
        <f>VLOOKUP($K$24,A2:G18,6,FALSE)</f>
        <v>Indore</v>
      </c>
    </row>
    <row r="29" spans="1:18" ht="18">
      <c r="J29" s="36" t="s">
        <v>60</v>
      </c>
      <c r="K29" s="32">
        <f>VLOOKUP($K$24,A2:G18,5,FALSE)</f>
        <v>2016</v>
      </c>
    </row>
  </sheetData>
  <conditionalFormatting sqref="A3:G3 A4:F17 G4:G18">
    <cfRule type="expression" dxfId="9" priority="1">
      <formula>OR($C3="Mumbai",$E3&gt;60000)</formula>
    </cfRule>
    <cfRule type="expression" dxfId="8" priority="2">
      <formula>OR($C15="Mumbai",$E15&gt;60000)</formula>
    </cfRule>
  </conditionalFormatting>
  <dataValidations count="1">
    <dataValidation type="list" allowBlank="1" showInputMessage="1" showErrorMessage="1" sqref="K24" xr:uid="{82BA162F-3242-4F33-BFB0-7E20F5B34613}">
      <formula1>$A$3:$A$18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33"/>
  <sheetViews>
    <sheetView topLeftCell="A9" zoomScale="91" workbookViewId="0">
      <selection activeCell="C27" sqref="C27"/>
    </sheetView>
  </sheetViews>
  <sheetFormatPr defaultColWidth="9.109375" defaultRowHeight="14.4"/>
  <cols>
    <col min="1" max="1" width="13.88671875" customWidth="1"/>
  </cols>
  <sheetData>
    <row r="1" spans="1:16">
      <c r="A1" s="21" t="s">
        <v>18</v>
      </c>
      <c r="B1" s="22" t="s">
        <v>23</v>
      </c>
      <c r="C1" s="22" t="s">
        <v>25</v>
      </c>
      <c r="D1" s="22" t="s">
        <v>27</v>
      </c>
      <c r="E1" s="22" t="s">
        <v>29</v>
      </c>
      <c r="F1" s="22" t="s">
        <v>31</v>
      </c>
      <c r="G1" s="22" t="s">
        <v>34</v>
      </c>
      <c r="H1" s="22" t="s">
        <v>36</v>
      </c>
      <c r="I1" s="22" t="s">
        <v>39</v>
      </c>
      <c r="J1" s="22" t="s">
        <v>41</v>
      </c>
      <c r="K1" s="22" t="s">
        <v>45</v>
      </c>
      <c r="L1" s="22" t="s">
        <v>47</v>
      </c>
      <c r="M1" s="22" t="s">
        <v>49</v>
      </c>
      <c r="N1" s="22" t="s">
        <v>50</v>
      </c>
      <c r="O1" s="22" t="s">
        <v>51</v>
      </c>
      <c r="P1" s="33" t="s">
        <v>53</v>
      </c>
    </row>
    <row r="2" spans="1:16">
      <c r="A2" s="23" t="s">
        <v>19</v>
      </c>
      <c r="B2">
        <v>21</v>
      </c>
      <c r="C2">
        <v>43</v>
      </c>
      <c r="D2">
        <v>32</v>
      </c>
      <c r="E2">
        <v>24</v>
      </c>
      <c r="F2">
        <v>43</v>
      </c>
      <c r="G2">
        <v>34</v>
      </c>
      <c r="H2">
        <v>32</v>
      </c>
      <c r="I2">
        <v>43</v>
      </c>
      <c r="J2">
        <v>23</v>
      </c>
      <c r="K2">
        <v>25</v>
      </c>
      <c r="L2">
        <v>28</v>
      </c>
      <c r="M2">
        <v>32</v>
      </c>
      <c r="N2">
        <v>43</v>
      </c>
      <c r="O2">
        <v>20</v>
      </c>
      <c r="P2" s="34">
        <v>37</v>
      </c>
    </row>
    <row r="3" spans="1:16">
      <c r="A3" s="23" t="s">
        <v>20</v>
      </c>
      <c r="B3">
        <v>25800</v>
      </c>
      <c r="C3">
        <v>73000</v>
      </c>
      <c r="D3">
        <v>54999</v>
      </c>
      <c r="E3">
        <v>45969</v>
      </c>
      <c r="F3">
        <v>65999</v>
      </c>
      <c r="G3">
        <v>85000</v>
      </c>
      <c r="H3">
        <v>55869</v>
      </c>
      <c r="I3">
        <v>58399</v>
      </c>
      <c r="J3">
        <v>45858</v>
      </c>
      <c r="K3">
        <v>46899</v>
      </c>
      <c r="L3">
        <v>23500</v>
      </c>
      <c r="M3">
        <v>38000</v>
      </c>
      <c r="N3">
        <v>28500</v>
      </c>
      <c r="O3">
        <v>48800</v>
      </c>
      <c r="P3" s="34">
        <v>57300</v>
      </c>
    </row>
    <row r="4" spans="1:16">
      <c r="A4" s="23" t="s">
        <v>22</v>
      </c>
      <c r="B4">
        <v>2016</v>
      </c>
      <c r="C4">
        <v>2014</v>
      </c>
      <c r="D4">
        <v>2016</v>
      </c>
      <c r="E4">
        <v>2017</v>
      </c>
      <c r="F4">
        <v>2014</v>
      </c>
      <c r="G4">
        <v>2016</v>
      </c>
      <c r="H4">
        <v>2016</v>
      </c>
      <c r="I4">
        <v>2014</v>
      </c>
      <c r="J4">
        <v>2019</v>
      </c>
      <c r="K4">
        <v>2019</v>
      </c>
      <c r="L4">
        <v>2016</v>
      </c>
      <c r="M4">
        <v>2014</v>
      </c>
      <c r="N4">
        <v>2019</v>
      </c>
      <c r="O4">
        <v>2019</v>
      </c>
      <c r="P4" s="34">
        <v>2014</v>
      </c>
    </row>
    <row r="5" spans="1:16">
      <c r="A5" s="23" t="s">
        <v>0</v>
      </c>
      <c r="B5" t="s">
        <v>2</v>
      </c>
      <c r="C5" t="s">
        <v>4</v>
      </c>
      <c r="D5" t="s">
        <v>6</v>
      </c>
      <c r="E5" t="s">
        <v>8</v>
      </c>
      <c r="F5" t="s">
        <v>10</v>
      </c>
      <c r="G5" t="s">
        <v>11</v>
      </c>
      <c r="H5" t="s">
        <v>2</v>
      </c>
      <c r="I5" t="s">
        <v>13</v>
      </c>
      <c r="J5" t="s">
        <v>14</v>
      </c>
      <c r="K5" t="s">
        <v>11</v>
      </c>
      <c r="L5" t="s">
        <v>15</v>
      </c>
      <c r="M5" t="s">
        <v>16</v>
      </c>
      <c r="N5" t="s">
        <v>8</v>
      </c>
      <c r="O5" t="s">
        <v>17</v>
      </c>
      <c r="P5" s="34" t="s">
        <v>13</v>
      </c>
    </row>
    <row r="6" spans="1:16">
      <c r="A6" s="24" t="s">
        <v>1</v>
      </c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35"/>
    </row>
    <row r="8" spans="1:16">
      <c r="B8" s="26" t="s">
        <v>61</v>
      </c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</row>
    <row r="9" spans="1:16">
      <c r="B9" s="26" t="s">
        <v>62</v>
      </c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</row>
    <row r="10" spans="1:16">
      <c r="B10" s="26" t="s">
        <v>63</v>
      </c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</row>
    <row r="11" spans="1:16">
      <c r="B11" s="26" t="s">
        <v>64</v>
      </c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</row>
    <row r="13" spans="1:16">
      <c r="B13" s="26" t="s">
        <v>65</v>
      </c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</row>
    <row r="14" spans="1:16">
      <c r="B14" s="26" t="s">
        <v>66</v>
      </c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</row>
    <row r="15" spans="1:16">
      <c r="B15" s="26" t="s">
        <v>67</v>
      </c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</row>
    <row r="16" spans="1:16">
      <c r="B16" s="26" t="s">
        <v>35</v>
      </c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</row>
    <row r="17" spans="2:13">
      <c r="C17" s="27" t="s">
        <v>37</v>
      </c>
      <c r="D17" s="27" t="s">
        <v>38</v>
      </c>
    </row>
    <row r="18" spans="2:13">
      <c r="C18" s="28" t="s">
        <v>18</v>
      </c>
      <c r="D18" s="28" t="s">
        <v>40</v>
      </c>
    </row>
    <row r="19" spans="2:13">
      <c r="C19" s="28" t="s">
        <v>42</v>
      </c>
      <c r="D19" s="28" t="s">
        <v>43</v>
      </c>
      <c r="E19" s="29" t="s">
        <v>44</v>
      </c>
    </row>
    <row r="20" spans="2:13">
      <c r="C20" s="28" t="s">
        <v>20</v>
      </c>
      <c r="D20" s="28" t="s">
        <v>46</v>
      </c>
    </row>
    <row r="21" spans="2:13">
      <c r="C21" s="28" t="s">
        <v>48</v>
      </c>
      <c r="D21" s="28" t="s">
        <v>40</v>
      </c>
    </row>
    <row r="22" spans="2:13">
      <c r="C22" s="28" t="s">
        <v>1</v>
      </c>
      <c r="D22" s="28" t="s">
        <v>40</v>
      </c>
    </row>
    <row r="24" spans="2:13">
      <c r="B24" s="26" t="s">
        <v>68</v>
      </c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</row>
    <row r="26" spans="2:13">
      <c r="B26" s="15" t="s">
        <v>69</v>
      </c>
    </row>
    <row r="27" spans="2:13" ht="18">
      <c r="B27" s="30" t="s">
        <v>18</v>
      </c>
      <c r="C27" s="31" t="s">
        <v>34</v>
      </c>
    </row>
    <row r="29" spans="2:13" ht="18">
      <c r="B29" s="30" t="s">
        <v>19</v>
      </c>
      <c r="C29" s="32">
        <f>HLOOKUP(C27,B1:P5,2,0)</f>
        <v>34</v>
      </c>
    </row>
    <row r="30" spans="2:13" ht="18">
      <c r="B30" s="30" t="s">
        <v>20</v>
      </c>
      <c r="C30" s="32">
        <f>HLOOKUP(C27,A1:P6,3,FALSE)</f>
        <v>85000</v>
      </c>
    </row>
    <row r="31" spans="2:13" ht="18.75" customHeight="1">
      <c r="B31" s="30" t="s">
        <v>0</v>
      </c>
      <c r="C31" s="32" t="str">
        <f>HLOOKUP(C27,A1:P6,5,FALSE)</f>
        <v>Indore</v>
      </c>
    </row>
    <row r="32" spans="2:13">
      <c r="B32" s="47" t="s">
        <v>60</v>
      </c>
      <c r="C32" s="48">
        <f>HLOOKUP(C27,A1:P6,4,FALSE)</f>
        <v>2016</v>
      </c>
    </row>
    <row r="33" spans="2:3">
      <c r="B33" s="47"/>
      <c r="C33" s="48"/>
    </row>
  </sheetData>
  <mergeCells count="2">
    <mergeCell ref="B32:B33"/>
    <mergeCell ref="C32:C33"/>
  </mergeCells>
  <conditionalFormatting sqref="B1:P2">
    <cfRule type="expression" dxfId="7" priority="10">
      <formula>OR($D14="Mumbai",$E14&gt;60000)</formula>
    </cfRule>
  </conditionalFormatting>
  <conditionalFormatting sqref="B1:P6">
    <cfRule type="expression" dxfId="6" priority="1">
      <formula>OR($D1="Mumbai",$E1&gt;60000)</formula>
    </cfRule>
  </conditionalFormatting>
  <conditionalFormatting sqref="B3:P4">
    <cfRule type="expression" dxfId="5" priority="4">
      <formula>OR(#REF!="Mumbai",#REF!&gt;60000)</formula>
    </cfRule>
  </conditionalFormatting>
  <conditionalFormatting sqref="B5:P6">
    <cfRule type="expression" dxfId="4" priority="2">
      <formula>OR($D17="Mumbai",$E17&gt;60000)</formula>
    </cfRule>
  </conditionalFormatting>
  <dataValidations count="1">
    <dataValidation type="list" allowBlank="1" showInputMessage="1" showErrorMessage="1" sqref="C27" xr:uid="{9935021B-EA4E-4DE8-A387-900DBCB57AD2}">
      <formula1>$B$1:$P$1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N37"/>
  <sheetViews>
    <sheetView topLeftCell="A13" workbookViewId="0">
      <selection activeCell="D22" sqref="D22:D37"/>
    </sheetView>
  </sheetViews>
  <sheetFormatPr defaultColWidth="9.109375" defaultRowHeight="14.4"/>
  <cols>
    <col min="2" max="2" width="12.88671875" style="6" customWidth="1"/>
    <col min="3" max="3" width="18.88671875" style="7" customWidth="1"/>
    <col min="4" max="4" width="11.109375" customWidth="1"/>
    <col min="8" max="8" width="14.44140625" customWidth="1"/>
    <col min="9" max="9" width="15" customWidth="1"/>
    <col min="10" max="10" width="19.109375" customWidth="1"/>
    <col min="11" max="11" width="12.88671875" customWidth="1"/>
    <col min="12" max="12" width="12.109375" customWidth="1"/>
    <col min="13" max="13" width="11.88671875" customWidth="1"/>
    <col min="14" max="14" width="10.5546875" customWidth="1"/>
  </cols>
  <sheetData>
    <row r="2" spans="2:11" ht="23.4">
      <c r="B2" s="8" t="s">
        <v>70</v>
      </c>
      <c r="C2" s="9" t="s">
        <v>71</v>
      </c>
      <c r="D2" s="10" t="s">
        <v>72</v>
      </c>
      <c r="H2" s="51" t="s">
        <v>70</v>
      </c>
      <c r="I2" s="51"/>
      <c r="J2" s="49" t="s">
        <v>71</v>
      </c>
      <c r="K2" s="49" t="s">
        <v>72</v>
      </c>
    </row>
    <row r="3" spans="2:11" ht="18">
      <c r="B3" s="11">
        <v>100000</v>
      </c>
      <c r="C3" s="38">
        <f>VLOOKUP(B3,$H$2:$K$8,3,TRUE)</f>
        <v>0.02</v>
      </c>
      <c r="D3" s="12">
        <f>_xlfn.XLOOKUP(C3,$J$4:$J$8,$K$4:$K$8,0)</f>
        <v>1</v>
      </c>
      <c r="H3" s="13" t="s">
        <v>73</v>
      </c>
      <c r="I3" s="13" t="s">
        <v>74</v>
      </c>
      <c r="J3" s="50"/>
      <c r="K3" s="50"/>
    </row>
    <row r="4" spans="2:11" ht="15.6">
      <c r="B4" s="11">
        <v>120000</v>
      </c>
      <c r="C4" s="38">
        <f t="shared" ref="C4:C18" si="0">VLOOKUP(B4,$H$2:$K$8,3,TRUE)</f>
        <v>0.04</v>
      </c>
      <c r="D4" s="12">
        <f t="shared" ref="D4:D18" si="1">_xlfn.XLOOKUP(C4,$J$4:$J$8,$K$4:$K$8,0)</f>
        <v>2</v>
      </c>
      <c r="H4" s="14">
        <v>10000</v>
      </c>
      <c r="I4" s="14">
        <v>100000</v>
      </c>
      <c r="J4" s="19">
        <v>0.02</v>
      </c>
      <c r="K4" s="20">
        <v>1</v>
      </c>
    </row>
    <row r="5" spans="2:11" ht="15.6">
      <c r="B5" s="11">
        <v>50000</v>
      </c>
      <c r="C5" s="38">
        <f t="shared" si="0"/>
        <v>0.02</v>
      </c>
      <c r="D5" s="12">
        <f t="shared" si="1"/>
        <v>1</v>
      </c>
      <c r="H5" s="14">
        <v>100001</v>
      </c>
      <c r="I5" s="14">
        <v>200000</v>
      </c>
      <c r="J5" s="19">
        <v>0.04</v>
      </c>
      <c r="K5" s="20">
        <v>2</v>
      </c>
    </row>
    <row r="6" spans="2:11" ht="15.6">
      <c r="B6" s="11">
        <v>90000</v>
      </c>
      <c r="C6" s="38">
        <f t="shared" si="0"/>
        <v>0.02</v>
      </c>
      <c r="D6" s="12">
        <f t="shared" si="1"/>
        <v>1</v>
      </c>
      <c r="H6" s="14">
        <v>200001</v>
      </c>
      <c r="I6" s="14">
        <v>300000</v>
      </c>
      <c r="J6" s="19">
        <v>0.06</v>
      </c>
      <c r="K6" s="20">
        <v>3</v>
      </c>
    </row>
    <row r="7" spans="2:11" ht="15.6">
      <c r="B7" s="11">
        <v>800000</v>
      </c>
      <c r="C7" s="38">
        <f t="shared" si="0"/>
        <v>0.1</v>
      </c>
      <c r="D7" s="12">
        <f t="shared" si="1"/>
        <v>5</v>
      </c>
      <c r="H7" s="14">
        <v>300001</v>
      </c>
      <c r="I7" s="14">
        <v>400000</v>
      </c>
      <c r="J7" s="19">
        <v>0.08</v>
      </c>
      <c r="K7" s="20">
        <v>4</v>
      </c>
    </row>
    <row r="8" spans="2:11" ht="15.6">
      <c r="B8" s="11">
        <v>200000</v>
      </c>
      <c r="C8" s="38">
        <f t="shared" si="0"/>
        <v>0.04</v>
      </c>
      <c r="D8" s="12">
        <f t="shared" si="1"/>
        <v>2</v>
      </c>
      <c r="H8" s="14">
        <v>400001</v>
      </c>
      <c r="I8" s="14" t="s">
        <v>75</v>
      </c>
      <c r="J8" s="19">
        <v>0.1</v>
      </c>
      <c r="K8" s="20">
        <v>5</v>
      </c>
    </row>
    <row r="9" spans="2:11" ht="15.6">
      <c r="B9" s="11">
        <v>80000</v>
      </c>
      <c r="C9" s="38">
        <f t="shared" si="0"/>
        <v>0.02</v>
      </c>
      <c r="D9" s="12">
        <f t="shared" si="1"/>
        <v>1</v>
      </c>
    </row>
    <row r="10" spans="2:11" ht="15.6">
      <c r="B10" s="11">
        <v>90000</v>
      </c>
      <c r="C10" s="38">
        <f t="shared" si="0"/>
        <v>0.02</v>
      </c>
      <c r="D10" s="12">
        <f t="shared" si="1"/>
        <v>1</v>
      </c>
    </row>
    <row r="11" spans="2:11" ht="15.6">
      <c r="B11" s="11">
        <v>400000</v>
      </c>
      <c r="C11" s="38">
        <f t="shared" si="0"/>
        <v>0.08</v>
      </c>
      <c r="D11" s="12">
        <f t="shared" si="1"/>
        <v>4</v>
      </c>
      <c r="H11" s="15" t="s">
        <v>76</v>
      </c>
    </row>
    <row r="12" spans="2:11" ht="15.6">
      <c r="B12" s="11">
        <v>300000</v>
      </c>
      <c r="C12" s="38">
        <f t="shared" si="0"/>
        <v>0.06</v>
      </c>
      <c r="D12" s="12">
        <f t="shared" si="1"/>
        <v>3</v>
      </c>
      <c r="H12" s="15" t="s">
        <v>77</v>
      </c>
    </row>
    <row r="13" spans="2:11" ht="15.6">
      <c r="B13" s="11">
        <v>450000</v>
      </c>
      <c r="C13" s="38">
        <f t="shared" si="0"/>
        <v>0.1</v>
      </c>
      <c r="D13" s="12">
        <f t="shared" si="1"/>
        <v>5</v>
      </c>
    </row>
    <row r="14" spans="2:11" ht="15.6">
      <c r="B14" s="11">
        <v>300000</v>
      </c>
      <c r="C14" s="38">
        <f t="shared" si="0"/>
        <v>0.06</v>
      </c>
      <c r="D14" s="12">
        <f t="shared" si="1"/>
        <v>3</v>
      </c>
    </row>
    <row r="15" spans="2:11" ht="15.6">
      <c r="B15" s="11">
        <v>400000</v>
      </c>
      <c r="C15" s="38">
        <f t="shared" si="0"/>
        <v>0.08</v>
      </c>
      <c r="D15" s="12">
        <f t="shared" si="1"/>
        <v>4</v>
      </c>
    </row>
    <row r="16" spans="2:11" ht="15.6">
      <c r="B16" s="11">
        <v>500000</v>
      </c>
      <c r="C16" s="38">
        <f t="shared" si="0"/>
        <v>0.1</v>
      </c>
      <c r="D16" s="12">
        <f t="shared" si="1"/>
        <v>5</v>
      </c>
    </row>
    <row r="17" spans="2:14" ht="15.6">
      <c r="B17" s="11">
        <v>900000</v>
      </c>
      <c r="C17" s="38">
        <f t="shared" si="0"/>
        <v>0.1</v>
      </c>
      <c r="D17" s="12">
        <f t="shared" si="1"/>
        <v>5</v>
      </c>
    </row>
    <row r="18" spans="2:14" ht="16.2" thickBot="1">
      <c r="B18" s="16">
        <v>400000</v>
      </c>
      <c r="C18" s="38">
        <f t="shared" si="0"/>
        <v>0.08</v>
      </c>
      <c r="D18" s="12">
        <f t="shared" si="1"/>
        <v>4</v>
      </c>
    </row>
    <row r="19" spans="2:14" ht="15.6">
      <c r="C19" s="17"/>
      <c r="D19" s="18"/>
    </row>
    <row r="21" spans="2:14" ht="23.4">
      <c r="B21" s="8" t="s">
        <v>70</v>
      </c>
      <c r="C21" s="9" t="s">
        <v>71</v>
      </c>
      <c r="D21" s="10" t="s">
        <v>72</v>
      </c>
      <c r="H21" s="51" t="s">
        <v>70</v>
      </c>
      <c r="I21" s="13" t="s">
        <v>73</v>
      </c>
      <c r="J21" s="14">
        <v>10000</v>
      </c>
      <c r="K21" s="14">
        <v>100001</v>
      </c>
      <c r="L21" s="14">
        <v>200001</v>
      </c>
      <c r="M21" s="14">
        <v>300001</v>
      </c>
      <c r="N21" s="14">
        <v>400001</v>
      </c>
    </row>
    <row r="22" spans="2:14" ht="18">
      <c r="B22" s="11">
        <v>100000</v>
      </c>
      <c r="C22" s="38">
        <f>HLOOKUP(B22,$H$21:$N$24,3,TRUE)</f>
        <v>0.02</v>
      </c>
      <c r="D22" s="12">
        <f>HLOOKUP(C22,$H$23:$N$24,2,FALSE)</f>
        <v>1</v>
      </c>
      <c r="H22" s="51"/>
      <c r="I22" s="13" t="s">
        <v>74</v>
      </c>
      <c r="J22" s="14">
        <v>100000</v>
      </c>
      <c r="K22" s="14">
        <v>200000</v>
      </c>
      <c r="L22" s="14">
        <v>300000</v>
      </c>
      <c r="M22" s="14">
        <v>400000</v>
      </c>
      <c r="N22" s="14" t="s">
        <v>75</v>
      </c>
    </row>
    <row r="23" spans="2:14" ht="18">
      <c r="B23" s="11">
        <v>120000</v>
      </c>
      <c r="C23" s="38">
        <f t="shared" ref="C23:C37" si="2">HLOOKUP(B23,$H$21:$N$24,3,TRUE)</f>
        <v>0.04</v>
      </c>
      <c r="D23" s="12">
        <f t="shared" ref="D23:D37" si="3">HLOOKUP(C23,$H$23:$N$24,2,FALSE)</f>
        <v>2</v>
      </c>
      <c r="H23" s="49" t="s">
        <v>71</v>
      </c>
      <c r="I23" s="50"/>
      <c r="J23" s="19">
        <v>0.02</v>
      </c>
      <c r="K23" s="19">
        <v>0.04</v>
      </c>
      <c r="L23" s="19">
        <v>0.06</v>
      </c>
      <c r="M23" s="19">
        <v>0.08</v>
      </c>
      <c r="N23" s="19">
        <v>0.1</v>
      </c>
    </row>
    <row r="24" spans="2:14" ht="18">
      <c r="B24" s="11">
        <v>50000</v>
      </c>
      <c r="C24" s="38">
        <f t="shared" si="2"/>
        <v>0.02</v>
      </c>
      <c r="D24" s="12">
        <f t="shared" si="3"/>
        <v>1</v>
      </c>
      <c r="H24" s="49" t="s">
        <v>72</v>
      </c>
      <c r="I24" s="50"/>
      <c r="J24" s="20">
        <v>1</v>
      </c>
      <c r="K24" s="20">
        <v>2</v>
      </c>
      <c r="L24" s="20">
        <v>3</v>
      </c>
      <c r="M24" s="20">
        <v>4</v>
      </c>
      <c r="N24" s="20">
        <v>5</v>
      </c>
    </row>
    <row r="25" spans="2:14" ht="15.6">
      <c r="B25" s="11">
        <v>90000</v>
      </c>
      <c r="C25" s="38">
        <f t="shared" si="2"/>
        <v>0.02</v>
      </c>
      <c r="D25" s="12">
        <f t="shared" si="3"/>
        <v>1</v>
      </c>
    </row>
    <row r="26" spans="2:14" ht="15.6">
      <c r="B26" s="11">
        <v>800000</v>
      </c>
      <c r="C26" s="38">
        <f t="shared" si="2"/>
        <v>0.1</v>
      </c>
      <c r="D26" s="12">
        <f t="shared" si="3"/>
        <v>5</v>
      </c>
    </row>
    <row r="27" spans="2:14" ht="15.6">
      <c r="B27" s="11">
        <v>200000</v>
      </c>
      <c r="C27" s="38">
        <f t="shared" si="2"/>
        <v>0.04</v>
      </c>
      <c r="D27" s="12">
        <f t="shared" si="3"/>
        <v>2</v>
      </c>
      <c r="H27" s="15" t="s">
        <v>78</v>
      </c>
    </row>
    <row r="28" spans="2:14" ht="15.6">
      <c r="B28" s="11">
        <v>80000</v>
      </c>
      <c r="C28" s="38">
        <f t="shared" si="2"/>
        <v>0.02</v>
      </c>
      <c r="D28" s="12">
        <f t="shared" si="3"/>
        <v>1</v>
      </c>
    </row>
    <row r="29" spans="2:14" ht="15.6">
      <c r="B29" s="11">
        <v>90000</v>
      </c>
      <c r="C29" s="38">
        <f t="shared" si="2"/>
        <v>0.02</v>
      </c>
      <c r="D29" s="12">
        <f t="shared" si="3"/>
        <v>1</v>
      </c>
    </row>
    <row r="30" spans="2:14" ht="15.6">
      <c r="B30" s="11">
        <v>400000</v>
      </c>
      <c r="C30" s="38">
        <f t="shared" si="2"/>
        <v>0.08</v>
      </c>
      <c r="D30" s="12">
        <f t="shared" si="3"/>
        <v>4</v>
      </c>
    </row>
    <row r="31" spans="2:14" ht="15.6">
      <c r="B31" s="11">
        <v>300000</v>
      </c>
      <c r="C31" s="38">
        <f t="shared" si="2"/>
        <v>0.06</v>
      </c>
      <c r="D31" s="12">
        <f t="shared" si="3"/>
        <v>3</v>
      </c>
    </row>
    <row r="32" spans="2:14" ht="15.6">
      <c r="B32" s="11">
        <v>450000</v>
      </c>
      <c r="C32" s="38">
        <f t="shared" si="2"/>
        <v>0.1</v>
      </c>
      <c r="D32" s="12">
        <f t="shared" si="3"/>
        <v>5</v>
      </c>
    </row>
    <row r="33" spans="2:4" ht="15.6">
      <c r="B33" s="11">
        <v>300000</v>
      </c>
      <c r="C33" s="38">
        <f t="shared" si="2"/>
        <v>0.06</v>
      </c>
      <c r="D33" s="12">
        <f t="shared" si="3"/>
        <v>3</v>
      </c>
    </row>
    <row r="34" spans="2:4" ht="15.6">
      <c r="B34" s="11">
        <v>400000</v>
      </c>
      <c r="C34" s="38">
        <f t="shared" si="2"/>
        <v>0.08</v>
      </c>
      <c r="D34" s="12">
        <f t="shared" si="3"/>
        <v>4</v>
      </c>
    </row>
    <row r="35" spans="2:4" ht="15.6">
      <c r="B35" s="11">
        <v>500000</v>
      </c>
      <c r="C35" s="38">
        <f t="shared" si="2"/>
        <v>0.1</v>
      </c>
      <c r="D35" s="12">
        <f t="shared" si="3"/>
        <v>5</v>
      </c>
    </row>
    <row r="36" spans="2:4" ht="15.6">
      <c r="B36" s="11">
        <v>900000</v>
      </c>
      <c r="C36" s="38">
        <f t="shared" si="2"/>
        <v>0.1</v>
      </c>
      <c r="D36" s="12">
        <f t="shared" si="3"/>
        <v>5</v>
      </c>
    </row>
    <row r="37" spans="2:4" ht="16.2" thickBot="1">
      <c r="B37" s="16">
        <v>400000</v>
      </c>
      <c r="C37" s="38">
        <f t="shared" si="2"/>
        <v>0.08</v>
      </c>
      <c r="D37" s="12">
        <f t="shared" si="3"/>
        <v>4</v>
      </c>
    </row>
  </sheetData>
  <mergeCells count="6">
    <mergeCell ref="K2:K3"/>
    <mergeCell ref="H2:I2"/>
    <mergeCell ref="H23:I23"/>
    <mergeCell ref="H24:I24"/>
    <mergeCell ref="H21:H22"/>
    <mergeCell ref="J2:J3"/>
  </mergeCells>
  <conditionalFormatting sqref="B3:C3 B4:B17 C4:C18">
    <cfRule type="expression" dxfId="3" priority="3">
      <formula>OR($D3="Mumbai",$F3&gt;60000)</formula>
    </cfRule>
    <cfRule type="expression" dxfId="2" priority="4">
      <formula>OR($D15="Mumbai",$F15&gt;60000)</formula>
    </cfRule>
  </conditionalFormatting>
  <conditionalFormatting sqref="B22:C22 B23:B36 C23:C37">
    <cfRule type="expression" dxfId="1" priority="1">
      <formula>OR($D22="Mumbai",$F22&gt;60000)</formula>
    </cfRule>
    <cfRule type="expression" dxfId="0" priority="2">
      <formula>OR($D34="Mumbai",$F34&gt;60000)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F4C16-30EE-4B3C-8786-228EE436EF33}">
  <sheetPr>
    <tabColor theme="4" tint="-0.499984740745262"/>
  </sheetPr>
  <dimension ref="A3:K19"/>
  <sheetViews>
    <sheetView tabSelected="1" workbookViewId="0">
      <selection activeCell="D22" sqref="D22"/>
    </sheetView>
  </sheetViews>
  <sheetFormatPr defaultRowHeight="14.4"/>
  <cols>
    <col min="1" max="1" width="28.109375" bestFit="1" customWidth="1"/>
    <col min="2" max="4" width="16.5546875" bestFit="1" customWidth="1"/>
    <col min="5" max="5" width="18.33203125" bestFit="1" customWidth="1"/>
    <col min="7" max="7" width="28.109375" bestFit="1" customWidth="1"/>
    <col min="8" max="11" width="16.5546875" bestFit="1" customWidth="1"/>
  </cols>
  <sheetData>
    <row r="3" spans="1:11">
      <c r="A3" s="52" t="s">
        <v>94</v>
      </c>
      <c r="B3" s="53"/>
      <c r="C3" s="53"/>
      <c r="D3" s="53"/>
      <c r="E3" s="53"/>
      <c r="G3" s="53" t="s">
        <v>97</v>
      </c>
      <c r="H3" s="53"/>
      <c r="I3" s="53"/>
      <c r="J3" s="53"/>
      <c r="K3" s="53"/>
    </row>
    <row r="4" spans="1:11" ht="23.4">
      <c r="A4" s="1" t="s">
        <v>80</v>
      </c>
      <c r="B4" s="1" t="s">
        <v>81</v>
      </c>
      <c r="C4" s="1" t="s">
        <v>82</v>
      </c>
      <c r="D4" s="1" t="s">
        <v>83</v>
      </c>
      <c r="E4" s="1" t="s">
        <v>84</v>
      </c>
      <c r="G4" s="1" t="s">
        <v>80</v>
      </c>
      <c r="H4" s="1" t="s">
        <v>81</v>
      </c>
      <c r="I4" s="1" t="s">
        <v>82</v>
      </c>
      <c r="J4" s="1" t="s">
        <v>83</v>
      </c>
      <c r="K4" s="1" t="s">
        <v>84</v>
      </c>
    </row>
    <row r="5" spans="1:11" ht="23.4">
      <c r="A5" s="1" t="s">
        <v>85</v>
      </c>
      <c r="B5" s="3">
        <v>150000</v>
      </c>
      <c r="C5" s="3">
        <v>200010</v>
      </c>
      <c r="D5" s="3">
        <v>400000</v>
      </c>
      <c r="E5" s="3">
        <v>770000</v>
      </c>
      <c r="G5" s="1" t="s">
        <v>85</v>
      </c>
      <c r="H5" s="3">
        <v>50000</v>
      </c>
      <c r="I5" s="3">
        <v>100005</v>
      </c>
      <c r="J5" s="3">
        <v>200000</v>
      </c>
      <c r="K5" s="3">
        <v>320000</v>
      </c>
    </row>
    <row r="6" spans="1:11" ht="23.4">
      <c r="A6" s="1" t="s">
        <v>86</v>
      </c>
      <c r="B6" s="3">
        <v>400000</v>
      </c>
      <c r="C6" s="3">
        <v>670000</v>
      </c>
      <c r="D6" s="3">
        <v>600000</v>
      </c>
      <c r="E6" s="3">
        <v>1100000</v>
      </c>
      <c r="G6" s="1" t="s">
        <v>86</v>
      </c>
      <c r="H6" s="3">
        <v>200000</v>
      </c>
      <c r="I6" s="3">
        <v>320000</v>
      </c>
      <c r="J6" s="3">
        <v>300000</v>
      </c>
      <c r="K6" s="3">
        <v>400000</v>
      </c>
    </row>
    <row r="7" spans="1:11" ht="23.4">
      <c r="A7" s="1" t="s">
        <v>87</v>
      </c>
      <c r="B7" s="3">
        <v>250000</v>
      </c>
      <c r="C7" s="3">
        <v>310002</v>
      </c>
      <c r="D7" s="3">
        <v>330000</v>
      </c>
      <c r="E7" s="3">
        <v>350006</v>
      </c>
      <c r="G7" s="1" t="s">
        <v>87</v>
      </c>
      <c r="H7" s="3">
        <v>100000</v>
      </c>
      <c r="I7" s="3">
        <v>150001</v>
      </c>
      <c r="J7" s="3">
        <v>150000</v>
      </c>
      <c r="K7" s="3">
        <v>170003</v>
      </c>
    </row>
    <row r="8" spans="1:11" ht="23.4">
      <c r="A8" s="1" t="s">
        <v>88</v>
      </c>
      <c r="B8" s="3">
        <v>40000</v>
      </c>
      <c r="C8" s="3">
        <v>120002</v>
      </c>
      <c r="D8" s="3">
        <v>70012</v>
      </c>
      <c r="E8" s="3">
        <v>130014</v>
      </c>
      <c r="G8" s="1" t="s">
        <v>88</v>
      </c>
      <c r="H8" s="3">
        <v>20000</v>
      </c>
      <c r="I8" s="3">
        <v>50001</v>
      </c>
      <c r="J8" s="3">
        <v>30006</v>
      </c>
      <c r="K8" s="3">
        <v>60007</v>
      </c>
    </row>
    <row r="9" spans="1:11" ht="23.4">
      <c r="A9" s="1" t="s">
        <v>89</v>
      </c>
      <c r="B9" s="3">
        <v>170000</v>
      </c>
      <c r="C9" s="3">
        <v>200002</v>
      </c>
      <c r="D9" s="3">
        <v>260004</v>
      </c>
      <c r="E9" s="3">
        <v>180006</v>
      </c>
      <c r="G9" s="1" t="s">
        <v>89</v>
      </c>
      <c r="H9" s="3">
        <v>70000</v>
      </c>
      <c r="I9" s="3">
        <v>100001</v>
      </c>
      <c r="J9" s="3">
        <v>80002</v>
      </c>
      <c r="K9" s="3">
        <v>85003</v>
      </c>
    </row>
    <row r="10" spans="1:11" ht="23.4">
      <c r="A10" s="1" t="s">
        <v>90</v>
      </c>
      <c r="B10" s="3">
        <v>40000</v>
      </c>
      <c r="C10" s="3">
        <v>59002</v>
      </c>
      <c r="D10" s="3">
        <v>70004</v>
      </c>
      <c r="E10" s="3">
        <v>76006</v>
      </c>
      <c r="G10" s="1" t="s">
        <v>90</v>
      </c>
      <c r="H10" s="3">
        <v>20000</v>
      </c>
      <c r="I10" s="3">
        <v>24001</v>
      </c>
      <c r="J10" s="3">
        <v>35002</v>
      </c>
      <c r="K10" s="3">
        <v>33003</v>
      </c>
    </row>
    <row r="12" spans="1:11">
      <c r="A12" s="54" t="s">
        <v>96</v>
      </c>
      <c r="B12" s="54"/>
      <c r="C12" s="54"/>
      <c r="D12" s="54"/>
      <c r="E12" s="54"/>
      <c r="G12" s="53" t="s">
        <v>98</v>
      </c>
      <c r="H12" s="53"/>
      <c r="I12" s="53"/>
      <c r="J12" s="53"/>
      <c r="K12" s="53"/>
    </row>
    <row r="13" spans="1:11" ht="23.4">
      <c r="A13" s="1" t="s">
        <v>80</v>
      </c>
      <c r="B13" s="1" t="s">
        <v>81</v>
      </c>
      <c r="C13" s="1" t="s">
        <v>82</v>
      </c>
      <c r="D13" s="1" t="s">
        <v>83</v>
      </c>
      <c r="E13" s="1" t="s">
        <v>84</v>
      </c>
      <c r="G13" s="1" t="s">
        <v>80</v>
      </c>
      <c r="H13" s="1" t="s">
        <v>81</v>
      </c>
      <c r="I13" s="1" t="s">
        <v>82</v>
      </c>
      <c r="J13" s="1" t="s">
        <v>83</v>
      </c>
      <c r="K13" s="1" t="s">
        <v>84</v>
      </c>
    </row>
    <row r="14" spans="1:11" ht="23.4">
      <c r="A14" s="1" t="s">
        <v>85</v>
      </c>
      <c r="B14" s="3">
        <v>100000</v>
      </c>
      <c r="C14" s="3">
        <v>100005</v>
      </c>
      <c r="D14" s="3">
        <v>200000</v>
      </c>
      <c r="E14" s="3">
        <v>450000</v>
      </c>
      <c r="G14" s="1" t="s">
        <v>85</v>
      </c>
      <c r="H14" s="3">
        <v>116666.66666666667</v>
      </c>
      <c r="I14" s="3">
        <v>133338.33333333334</v>
      </c>
      <c r="J14" s="3">
        <v>266666.66666666669</v>
      </c>
      <c r="K14" s="3">
        <v>396666.66666666669</v>
      </c>
    </row>
    <row r="15" spans="1:11" ht="23.4">
      <c r="A15" s="1" t="s">
        <v>86</v>
      </c>
      <c r="B15" s="3">
        <v>200000</v>
      </c>
      <c r="C15" s="3">
        <v>350000</v>
      </c>
      <c r="D15" s="3">
        <v>300000</v>
      </c>
      <c r="E15" s="3">
        <v>700000</v>
      </c>
      <c r="G15" s="1" t="s">
        <v>86</v>
      </c>
      <c r="H15" s="3">
        <v>233333.33333333334</v>
      </c>
      <c r="I15" s="3">
        <v>340000</v>
      </c>
      <c r="J15" s="3">
        <v>266666.66666666669</v>
      </c>
      <c r="K15" s="3">
        <v>533333.33333333337</v>
      </c>
    </row>
    <row r="16" spans="1:11" ht="23.4">
      <c r="A16" s="1" t="s">
        <v>87</v>
      </c>
      <c r="B16" s="3">
        <v>150000</v>
      </c>
      <c r="C16" s="3">
        <v>160001</v>
      </c>
      <c r="D16" s="3">
        <v>180000</v>
      </c>
      <c r="E16" s="3">
        <v>180003</v>
      </c>
      <c r="G16" s="1" t="s">
        <v>87</v>
      </c>
      <c r="H16" s="3">
        <v>123333.33333333333</v>
      </c>
      <c r="I16" s="3">
        <v>143334.33333333334</v>
      </c>
      <c r="J16" s="3">
        <v>160000</v>
      </c>
      <c r="K16" s="3">
        <v>170003</v>
      </c>
    </row>
    <row r="17" spans="1:11" ht="23.4">
      <c r="A17" s="1" t="s">
        <v>88</v>
      </c>
      <c r="B17" s="3">
        <v>20000</v>
      </c>
      <c r="C17" s="3">
        <v>70001</v>
      </c>
      <c r="D17" s="3">
        <v>40006</v>
      </c>
      <c r="E17" s="3">
        <v>70007</v>
      </c>
      <c r="G17" s="1" t="s">
        <v>88</v>
      </c>
      <c r="H17" s="3">
        <v>26666.666666666668</v>
      </c>
      <c r="I17" s="3">
        <v>56667.666666666664</v>
      </c>
      <c r="J17" s="3">
        <v>36672.666666666664</v>
      </c>
      <c r="K17" s="3">
        <v>63340.333333333336</v>
      </c>
    </row>
    <row r="18" spans="1:11" ht="23.4">
      <c r="A18" s="1" t="s">
        <v>89</v>
      </c>
      <c r="B18" s="3">
        <v>100000</v>
      </c>
      <c r="C18" s="3">
        <v>100001</v>
      </c>
      <c r="D18" s="3">
        <v>180002</v>
      </c>
      <c r="E18" s="3">
        <v>95003</v>
      </c>
      <c r="G18" s="1" t="s">
        <v>89</v>
      </c>
      <c r="H18" s="3">
        <v>86666.666666666672</v>
      </c>
      <c r="I18" s="3">
        <v>100001</v>
      </c>
      <c r="J18" s="3">
        <v>113335.33333333333</v>
      </c>
      <c r="K18" s="3">
        <v>88336.333333333328</v>
      </c>
    </row>
    <row r="19" spans="1:11" ht="23.4">
      <c r="A19" s="1" t="s">
        <v>90</v>
      </c>
      <c r="B19" s="3">
        <v>20000</v>
      </c>
      <c r="C19" s="3">
        <v>35001</v>
      </c>
      <c r="D19" s="3">
        <v>35002</v>
      </c>
      <c r="E19" s="3">
        <v>43003</v>
      </c>
      <c r="G19" s="1" t="s">
        <v>90</v>
      </c>
      <c r="H19" s="3">
        <v>21000</v>
      </c>
      <c r="I19" s="3">
        <v>28001</v>
      </c>
      <c r="J19" s="3">
        <v>31668.666666666668</v>
      </c>
      <c r="K19" s="3">
        <v>36336.333333333336</v>
      </c>
    </row>
  </sheetData>
  <dataConsolidate function="average">
    <dataRefs count="3">
      <dataRef ref="B3:E8" sheet="cansole1"/>
      <dataRef ref="B3:E8" sheet="cansole2"/>
      <dataRef ref="B3:E8" sheet="cansole3"/>
    </dataRefs>
  </dataConsolidate>
  <mergeCells count="4">
    <mergeCell ref="A3:E3"/>
    <mergeCell ref="A12:E12"/>
    <mergeCell ref="G3:K3"/>
    <mergeCell ref="G12:K1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G11"/>
  <sheetViews>
    <sheetView zoomScale="98" workbookViewId="0">
      <selection activeCell="B25" sqref="B25"/>
    </sheetView>
  </sheetViews>
  <sheetFormatPr defaultColWidth="9.109375" defaultRowHeight="14.4"/>
  <cols>
    <col min="1" max="1" width="54.21875" bestFit="1" customWidth="1"/>
    <col min="2" max="2" width="74.88671875" bestFit="1" customWidth="1"/>
    <col min="4" max="4" width="21.44140625" bestFit="1" customWidth="1"/>
    <col min="6" max="6" width="54.21875" bestFit="1" customWidth="1"/>
    <col min="7" max="7" width="77.88671875" bestFit="1" customWidth="1"/>
  </cols>
  <sheetData>
    <row r="2" spans="1:7" ht="18">
      <c r="A2" s="39" t="s">
        <v>93</v>
      </c>
      <c r="B2" s="40"/>
      <c r="F2" s="5" t="s">
        <v>93</v>
      </c>
    </row>
    <row r="3" spans="1:7">
      <c r="A3" s="45" t="s">
        <v>94</v>
      </c>
      <c r="B3" s="40"/>
      <c r="D3" t="s">
        <v>95</v>
      </c>
      <c r="F3" t="s">
        <v>94</v>
      </c>
    </row>
    <row r="4" spans="1:7">
      <c r="A4" s="40" t="s">
        <v>96</v>
      </c>
      <c r="B4" s="40"/>
      <c r="F4" t="s">
        <v>96</v>
      </c>
    </row>
    <row r="5" spans="1:7">
      <c r="A5" s="40" t="s">
        <v>97</v>
      </c>
      <c r="B5" s="40"/>
      <c r="F5" t="s">
        <v>97</v>
      </c>
    </row>
    <row r="6" spans="1:7">
      <c r="A6" s="42" t="s">
        <v>98</v>
      </c>
      <c r="B6" s="40"/>
      <c r="F6" t="s">
        <v>98</v>
      </c>
    </row>
    <row r="7" spans="1:7">
      <c r="A7" s="42"/>
      <c r="B7" s="41"/>
    </row>
    <row r="8" spans="1:7">
      <c r="A8" s="43" t="s">
        <v>99</v>
      </c>
      <c r="B8" s="41" t="s">
        <v>100</v>
      </c>
      <c r="F8" t="s">
        <v>99</v>
      </c>
      <c r="G8" t="s">
        <v>100</v>
      </c>
    </row>
    <row r="9" spans="1:7">
      <c r="A9" s="43"/>
      <c r="B9" s="41" t="s">
        <v>101</v>
      </c>
      <c r="G9" t="s">
        <v>102</v>
      </c>
    </row>
    <row r="10" spans="1:7">
      <c r="A10" s="43"/>
      <c r="B10" s="41"/>
    </row>
    <row r="11" spans="1:7">
      <c r="A11" s="44" t="s">
        <v>103</v>
      </c>
      <c r="B11" s="41" t="s">
        <v>104</v>
      </c>
    </row>
  </sheetData>
  <dataConsolidate>
    <dataRefs count="3">
      <dataRef ref="B3:E8" sheet="cansole2"/>
      <dataRef ref="B3:E8" sheet="cansole3"/>
      <dataRef ref="B3:E8" sheet="Cansolidate"/>
    </dataRefs>
  </dataConsolidate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8"/>
  <sheetViews>
    <sheetView zoomScaleNormal="100" workbookViewId="0">
      <selection activeCell="M8" sqref="M8"/>
    </sheetView>
  </sheetViews>
  <sheetFormatPr defaultColWidth="9.109375" defaultRowHeight="14.4"/>
  <cols>
    <col min="1" max="1" width="30.88671875" customWidth="1"/>
    <col min="2" max="5" width="16.88671875" customWidth="1"/>
  </cols>
  <sheetData>
    <row r="1" spans="1:13" ht="25.8">
      <c r="A1" s="55" t="s">
        <v>91</v>
      </c>
      <c r="B1" s="55"/>
      <c r="C1" s="55"/>
      <c r="D1" s="55"/>
      <c r="E1" s="55"/>
      <c r="H1" s="54" t="s">
        <v>110</v>
      </c>
      <c r="I1" s="54"/>
      <c r="J1" s="54"/>
      <c r="K1" s="54"/>
      <c r="L1" s="54"/>
      <c r="M1" s="46" t="s">
        <v>111</v>
      </c>
    </row>
    <row r="2" spans="1:13" ht="23.4">
      <c r="A2" s="1" t="s">
        <v>80</v>
      </c>
      <c r="B2" s="1" t="s">
        <v>81</v>
      </c>
      <c r="C2" s="1" t="s">
        <v>82</v>
      </c>
      <c r="D2" s="1" t="s">
        <v>83</v>
      </c>
      <c r="E2" s="1" t="s">
        <v>84</v>
      </c>
      <c r="H2" s="2" t="s">
        <v>105</v>
      </c>
      <c r="I2" s="2"/>
      <c r="J2" s="2"/>
      <c r="K2" s="2"/>
      <c r="L2" s="2"/>
      <c r="M2" s="46" t="s">
        <v>112</v>
      </c>
    </row>
    <row r="3" spans="1:13" ht="23.4">
      <c r="A3" s="1" t="s">
        <v>85</v>
      </c>
      <c r="B3" s="3">
        <v>100000</v>
      </c>
      <c r="C3" s="3">
        <v>100005</v>
      </c>
      <c r="D3" s="3">
        <v>200000</v>
      </c>
      <c r="E3" s="3">
        <v>320000</v>
      </c>
      <c r="H3" s="2" t="s">
        <v>106</v>
      </c>
      <c r="I3" s="2"/>
      <c r="J3" s="2"/>
      <c r="K3" s="2"/>
      <c r="L3" s="2"/>
      <c r="M3" s="46" t="s">
        <v>113</v>
      </c>
    </row>
    <row r="4" spans="1:13" ht="23.4">
      <c r="A4" s="1" t="s">
        <v>86</v>
      </c>
      <c r="B4" s="3">
        <v>200000</v>
      </c>
      <c r="C4" s="3">
        <v>320000</v>
      </c>
      <c r="D4" s="3">
        <v>300000</v>
      </c>
      <c r="E4" s="3">
        <v>700000</v>
      </c>
      <c r="H4" s="2" t="s">
        <v>107</v>
      </c>
      <c r="I4" s="2"/>
      <c r="J4" s="2"/>
      <c r="K4" s="2"/>
      <c r="L4" s="2"/>
      <c r="M4" s="46" t="s">
        <v>114</v>
      </c>
    </row>
    <row r="5" spans="1:13" ht="23.4">
      <c r="A5" s="1" t="s">
        <v>87</v>
      </c>
      <c r="B5" s="3">
        <v>100000</v>
      </c>
      <c r="C5" s="3">
        <v>150001</v>
      </c>
      <c r="D5" s="3">
        <v>150000</v>
      </c>
      <c r="E5" s="3">
        <v>180003</v>
      </c>
      <c r="H5" s="4" t="s">
        <v>108</v>
      </c>
      <c r="I5" s="2"/>
      <c r="J5" s="2"/>
      <c r="K5" s="2"/>
      <c r="L5" s="2"/>
      <c r="M5" s="46" t="s">
        <v>115</v>
      </c>
    </row>
    <row r="6" spans="1:13" ht="23.4">
      <c r="A6" s="1" t="s">
        <v>88</v>
      </c>
      <c r="B6" s="3">
        <v>20000</v>
      </c>
      <c r="C6" s="3">
        <v>50001</v>
      </c>
      <c r="D6" s="3">
        <v>30006</v>
      </c>
      <c r="E6" s="3">
        <v>70007</v>
      </c>
      <c r="H6" s="2" t="s">
        <v>109</v>
      </c>
      <c r="I6" s="2"/>
      <c r="J6" s="2"/>
      <c r="K6" s="2"/>
      <c r="L6" s="2"/>
      <c r="M6" s="46" t="s">
        <v>116</v>
      </c>
    </row>
    <row r="7" spans="1:13" ht="23.4">
      <c r="A7" s="1" t="s">
        <v>89</v>
      </c>
      <c r="B7" s="3">
        <v>100000</v>
      </c>
      <c r="C7" s="3">
        <v>100001</v>
      </c>
      <c r="D7" s="3">
        <v>80002</v>
      </c>
      <c r="E7" s="3">
        <v>95003</v>
      </c>
    </row>
    <row r="8" spans="1:13" ht="23.4">
      <c r="A8" s="1" t="s">
        <v>90</v>
      </c>
      <c r="B8" s="3">
        <v>20000</v>
      </c>
      <c r="C8" s="3">
        <v>35001</v>
      </c>
      <c r="D8" s="3">
        <v>35002</v>
      </c>
      <c r="E8" s="3">
        <v>43003</v>
      </c>
    </row>
  </sheetData>
  <mergeCells count="2">
    <mergeCell ref="A1:E1"/>
    <mergeCell ref="H1:L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8"/>
  <sheetViews>
    <sheetView workbookViewId="0">
      <selection activeCell="A2" sqref="A2:E8"/>
    </sheetView>
  </sheetViews>
  <sheetFormatPr defaultColWidth="9.109375" defaultRowHeight="14.4"/>
  <cols>
    <col min="1" max="1" width="18" customWidth="1"/>
    <col min="2" max="5" width="21.6640625"/>
  </cols>
  <sheetData>
    <row r="1" spans="1:5" ht="25.8">
      <c r="A1" s="55" t="s">
        <v>79</v>
      </c>
      <c r="B1" s="55"/>
      <c r="C1" s="55"/>
      <c r="D1" s="55"/>
      <c r="E1" s="55"/>
    </row>
    <row r="2" spans="1:5" ht="23.4">
      <c r="A2" s="1" t="s">
        <v>80</v>
      </c>
      <c r="B2" s="1" t="s">
        <v>81</v>
      </c>
      <c r="C2" s="1" t="s">
        <v>82</v>
      </c>
      <c r="D2" s="1" t="s">
        <v>83</v>
      </c>
      <c r="E2" s="1" t="s">
        <v>84</v>
      </c>
    </row>
    <row r="3" spans="1:5" ht="23.4">
      <c r="A3" s="1" t="s">
        <v>85</v>
      </c>
      <c r="B3" s="3">
        <v>200000</v>
      </c>
      <c r="C3" s="3">
        <v>200005</v>
      </c>
      <c r="D3" s="3">
        <v>400000</v>
      </c>
      <c r="E3" s="3">
        <v>420000</v>
      </c>
    </row>
    <row r="4" spans="1:5" ht="23.4">
      <c r="A4" s="1" t="s">
        <v>86</v>
      </c>
      <c r="B4" s="3">
        <v>300000</v>
      </c>
      <c r="C4" s="3">
        <v>350000</v>
      </c>
      <c r="D4" s="3">
        <v>200000</v>
      </c>
      <c r="E4" s="3">
        <v>500000</v>
      </c>
    </row>
    <row r="5" spans="1:5" ht="23.4">
      <c r="A5" s="1" t="s">
        <v>87</v>
      </c>
      <c r="B5" s="3">
        <v>120000</v>
      </c>
      <c r="C5" s="3">
        <v>120001</v>
      </c>
      <c r="D5" s="3">
        <v>150000</v>
      </c>
      <c r="E5" s="3">
        <v>160003</v>
      </c>
    </row>
    <row r="6" spans="1:5" ht="23.4">
      <c r="A6" s="1" t="s">
        <v>88</v>
      </c>
      <c r="B6" s="3">
        <v>40000</v>
      </c>
      <c r="C6" s="3">
        <v>50001</v>
      </c>
      <c r="D6" s="3">
        <v>40006</v>
      </c>
      <c r="E6" s="3">
        <v>60007</v>
      </c>
    </row>
    <row r="7" spans="1:5" ht="23.4">
      <c r="A7" s="1" t="s">
        <v>89</v>
      </c>
      <c r="B7" s="3">
        <v>90000</v>
      </c>
      <c r="C7" s="3">
        <v>100001</v>
      </c>
      <c r="D7" s="3">
        <v>80002</v>
      </c>
      <c r="E7" s="3">
        <v>85003</v>
      </c>
    </row>
    <row r="8" spans="1:5" ht="23.4">
      <c r="A8" s="1" t="s">
        <v>90</v>
      </c>
      <c r="B8" s="3">
        <v>23000</v>
      </c>
      <c r="C8" s="3">
        <v>25001</v>
      </c>
      <c r="D8" s="3">
        <v>25002</v>
      </c>
      <c r="E8" s="3">
        <v>33003</v>
      </c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8"/>
  <sheetViews>
    <sheetView workbookViewId="0">
      <selection activeCell="A2" sqref="A2:E8"/>
    </sheetView>
  </sheetViews>
  <sheetFormatPr defaultColWidth="9.109375" defaultRowHeight="14.4"/>
  <cols>
    <col min="1" max="5" width="20.88671875" customWidth="1"/>
  </cols>
  <sheetData>
    <row r="1" spans="1:5" ht="25.8">
      <c r="A1" s="55" t="s">
        <v>91</v>
      </c>
      <c r="B1" s="55"/>
      <c r="C1" s="55"/>
      <c r="D1" s="55"/>
      <c r="E1" s="55"/>
    </row>
    <row r="2" spans="1:5" ht="23.4">
      <c r="A2" s="1" t="s">
        <v>80</v>
      </c>
      <c r="B2" s="1" t="s">
        <v>81</v>
      </c>
      <c r="C2" s="1" t="s">
        <v>82</v>
      </c>
      <c r="D2" s="1" t="s">
        <v>83</v>
      </c>
      <c r="E2" s="1" t="s">
        <v>84</v>
      </c>
    </row>
    <row r="3" spans="1:5" ht="23.4">
      <c r="A3" s="1" t="s">
        <v>85</v>
      </c>
      <c r="B3" s="3">
        <v>100000</v>
      </c>
      <c r="C3" s="3">
        <v>100005</v>
      </c>
      <c r="D3" s="3">
        <v>200000</v>
      </c>
      <c r="E3" s="3">
        <v>320000</v>
      </c>
    </row>
    <row r="4" spans="1:5" ht="23.4">
      <c r="A4" s="1" t="s">
        <v>86</v>
      </c>
      <c r="B4" s="3">
        <v>200000</v>
      </c>
      <c r="C4" s="3">
        <v>320000</v>
      </c>
      <c r="D4" s="3">
        <v>300000</v>
      </c>
      <c r="E4" s="3">
        <v>700000</v>
      </c>
    </row>
    <row r="5" spans="1:5" ht="23.4">
      <c r="A5" s="1" t="s">
        <v>87</v>
      </c>
      <c r="B5" s="3">
        <v>100000</v>
      </c>
      <c r="C5" s="3">
        <v>150001</v>
      </c>
      <c r="D5" s="3">
        <v>150000</v>
      </c>
      <c r="E5" s="3">
        <v>180003</v>
      </c>
    </row>
    <row r="6" spans="1:5" ht="23.4">
      <c r="A6" s="1" t="s">
        <v>88</v>
      </c>
      <c r="B6" s="3">
        <v>20000</v>
      </c>
      <c r="C6" s="3">
        <v>50001</v>
      </c>
      <c r="D6" s="3">
        <v>30006</v>
      </c>
      <c r="E6" s="3">
        <v>70007</v>
      </c>
    </row>
    <row r="7" spans="1:5" ht="23.4">
      <c r="A7" s="1" t="s">
        <v>89</v>
      </c>
      <c r="B7" s="3">
        <v>100000</v>
      </c>
      <c r="C7" s="3">
        <v>100001</v>
      </c>
      <c r="D7" s="3">
        <v>80002</v>
      </c>
      <c r="E7" s="3">
        <v>95003</v>
      </c>
    </row>
    <row r="8" spans="1:5" ht="23.4">
      <c r="A8" s="1" t="s">
        <v>90</v>
      </c>
      <c r="B8" s="3">
        <v>20000</v>
      </c>
      <c r="C8" s="3">
        <v>35001</v>
      </c>
      <c r="D8" s="3">
        <v>35002</v>
      </c>
      <c r="E8" s="3">
        <v>43003</v>
      </c>
    </row>
  </sheetData>
  <mergeCells count="1"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8"/>
  <sheetViews>
    <sheetView workbookViewId="0">
      <selection activeCell="E26" sqref="E26"/>
    </sheetView>
  </sheetViews>
  <sheetFormatPr defaultColWidth="9.109375" defaultRowHeight="14.4"/>
  <cols>
    <col min="1" max="5" width="20" customWidth="1"/>
  </cols>
  <sheetData>
    <row r="1" spans="1:5" ht="25.8">
      <c r="A1" s="55" t="s">
        <v>92</v>
      </c>
      <c r="B1" s="55"/>
      <c r="C1" s="55"/>
      <c r="D1" s="55"/>
      <c r="E1" s="55"/>
    </row>
    <row r="2" spans="1:5" ht="23.4">
      <c r="A2" s="1" t="s">
        <v>80</v>
      </c>
      <c r="B2" s="1" t="s">
        <v>81</v>
      </c>
      <c r="C2" s="1" t="s">
        <v>82</v>
      </c>
      <c r="D2" s="1" t="s">
        <v>83</v>
      </c>
      <c r="E2" s="1" t="s">
        <v>84</v>
      </c>
    </row>
    <row r="3" spans="1:5" ht="23.4">
      <c r="A3" s="1" t="s">
        <v>85</v>
      </c>
      <c r="B3" s="3">
        <v>50000</v>
      </c>
      <c r="C3" s="3">
        <v>100005</v>
      </c>
      <c r="D3" s="3">
        <v>200000</v>
      </c>
      <c r="E3" s="3">
        <v>450000</v>
      </c>
    </row>
    <row r="4" spans="1:5" ht="23.4">
      <c r="A4" s="1" t="s">
        <v>86</v>
      </c>
      <c r="B4" s="3">
        <v>200000</v>
      </c>
      <c r="C4" s="3">
        <v>350000</v>
      </c>
      <c r="D4" s="3">
        <v>300000</v>
      </c>
      <c r="E4" s="3">
        <v>400000</v>
      </c>
    </row>
    <row r="5" spans="1:5" ht="23.4">
      <c r="A5" s="1" t="s">
        <v>87</v>
      </c>
      <c r="B5" s="3">
        <v>150000</v>
      </c>
      <c r="C5" s="3">
        <v>160001</v>
      </c>
      <c r="D5" s="3">
        <v>180000</v>
      </c>
      <c r="E5" s="3">
        <v>170003</v>
      </c>
    </row>
    <row r="6" spans="1:5" ht="23.4">
      <c r="A6" s="1" t="s">
        <v>88</v>
      </c>
      <c r="B6" s="3">
        <v>20000</v>
      </c>
      <c r="C6" s="3">
        <v>70001</v>
      </c>
      <c r="D6" s="3">
        <v>40006</v>
      </c>
      <c r="E6" s="3">
        <v>60007</v>
      </c>
    </row>
    <row r="7" spans="1:5" ht="23.4">
      <c r="A7" s="1" t="s">
        <v>89</v>
      </c>
      <c r="B7" s="3">
        <v>70000</v>
      </c>
      <c r="C7" s="3">
        <v>100001</v>
      </c>
      <c r="D7" s="3">
        <v>180002</v>
      </c>
      <c r="E7" s="3">
        <v>85003</v>
      </c>
    </row>
    <row r="8" spans="1:5" ht="23.4">
      <c r="A8" s="1" t="s">
        <v>90</v>
      </c>
      <c r="B8" s="3">
        <v>20000</v>
      </c>
      <c r="C8" s="3">
        <v>24001</v>
      </c>
      <c r="D8" s="3">
        <v>35002</v>
      </c>
      <c r="E8" s="3">
        <v>33003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City_and_State</vt:lpstr>
      <vt:lpstr>VlookUp</vt:lpstr>
      <vt:lpstr>Hookup</vt:lpstr>
      <vt:lpstr>Sales_data_set</vt:lpstr>
      <vt:lpstr>Cansolidate Ans</vt:lpstr>
      <vt:lpstr>Cansolidate</vt:lpstr>
      <vt:lpstr>Match</vt:lpstr>
      <vt:lpstr>cansole1</vt:lpstr>
      <vt:lpstr>cansole2</vt:lpstr>
      <vt:lpstr>cansole3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DELL_8</dc:creator>
  <cp:lastModifiedBy>omkar dhanke</cp:lastModifiedBy>
  <dcterms:created xsi:type="dcterms:W3CDTF">2024-02-28T06:48:00Z</dcterms:created>
  <dcterms:modified xsi:type="dcterms:W3CDTF">2025-12-04T15:48:49Z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1A8CF0CF554B44CCA33AB79B4D08A0A0_11</vt:lpwstr>
  </property>
  <property fmtid="{D5CDD505-2E9C-101B-9397-08002B2CF9AE}" pid="3" name="KSOProductBuildVer">
    <vt:lpwstr>1033-12.2.0.17153</vt:lpwstr>
  </property>
</Properties>
</file>