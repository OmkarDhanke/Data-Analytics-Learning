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</sheets>
  <definedNames>
    <definedName name="Asalary">Table2[Salary]</definedName>
    <definedName name="Gsalary">Table2[Salary]</definedName>
    <definedName name="Omkar">Sheet1!$C$7:$G$19</definedName>
  </definedNames>
  <calcPr fullCalcOnLoad="1"/>
</workbook>
</file>

<file path=xl/sharedStrings.xml><?xml version="1.0" encoding="utf-8"?>
<sst xmlns="http://schemas.openxmlformats.org/spreadsheetml/2006/main" count="23" uniqueCount="22">
  <si>
    <t>Sr_No</t>
  </si>
  <si>
    <t>Name</t>
  </si>
  <si>
    <t>Salary</t>
  </si>
  <si>
    <t>Tax</t>
  </si>
  <si>
    <t>Net_salay</t>
  </si>
  <si>
    <t>Omkar</t>
  </si>
  <si>
    <t xml:space="preserve">Kaushal </t>
  </si>
  <si>
    <t xml:space="preserve">Vivek </t>
  </si>
  <si>
    <t>Net Salary</t>
  </si>
  <si>
    <t xml:space="preserve">Soham </t>
  </si>
  <si>
    <t>Aditya</t>
  </si>
  <si>
    <t>Siddhesh</t>
  </si>
  <si>
    <t>Dipak</t>
  </si>
  <si>
    <t>Sevak</t>
  </si>
  <si>
    <t>Raj</t>
  </si>
  <si>
    <t>sum</t>
  </si>
  <si>
    <t>Ganesh</t>
  </si>
  <si>
    <t>min</t>
  </si>
  <si>
    <t>max</t>
  </si>
  <si>
    <t>avg</t>
  </si>
  <si>
    <t/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</si>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</sst>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2"/>
    </font>
    <font>
      <sz val="11"/>
      <color rgb="FF000000"/>
      <name val="Times New Roman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4" applyNumberFormat="1" borderId="3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4" applyBorder="1" fontId="2" applyFont="1" fillId="0" applyAlignment="1">
      <alignment horizontal="right"/>
    </xf>
    <xf xfId="0" numFmtId="0" borderId="4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164" applyNumberFormat="1" borderId="5" applyBorder="1" fontId="3" applyFont="1" fillId="0" applyAlignment="1">
      <alignment horizontal="right"/>
    </xf>
    <xf xfId="0" numFmtId="4" applyNumberFormat="1" borderId="4" applyBorder="1" fontId="2" applyFont="1" fillId="0" applyAlignment="1">
      <alignment horizontal="right"/>
    </xf>
    <xf xfId="0" numFmtId="0" borderId="4" applyBorder="1" fontId="3" applyFont="1" fillId="0" applyAlignment="1">
      <alignment horizontal="left"/>
    </xf>
    <xf xfId="0" numFmtId="3" applyNumberFormat="1" borderId="4" applyBorder="1" fontId="3" applyFont="1" fillId="0" applyAlignment="1">
      <alignment horizontal="right"/>
    </xf>
    <xf xfId="0" numFmtId="3" applyNumberFormat="1" borderId="6" applyBorder="1" fontId="2" applyFont="1" fillId="0" applyAlignment="1">
      <alignment horizontal="right"/>
    </xf>
    <xf xfId="0" numFmtId="14" applyNumberFormat="1" borderId="5" applyBorder="1" fontId="3" applyFont="1" fillId="0" applyAlignment="1">
      <alignment horizontal="left"/>
    </xf>
    <xf xfId="0" numFmtId="4" applyNumberFormat="1" borderId="0" fontId="0" fillId="0" applyAlignment="1">
      <alignment horizontal="general"/>
    </xf>
    <xf xfId="0" numFmtId="4" applyNumberFormat="1" borderId="0" fontId="0" fillId="0" quotePrefix="1" applyAlignment="1">
      <alignment horizontal="general"/>
    </xf>
    <xf xfId="0" numFmtId="3" applyNumberFormat="1" borderId="5" applyBorder="1" fontId="3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H1:H2" displayName="Table1" name="Table1" id="1" totalsRowShown="0">
  <autoFilter ref="H1:H2">
    <filterColumn hiddenButton="1" colId="0"/>
  </autoFilter>
  <tableColumns count="1">
    <tableColumn name="Tax" id="1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E11" displayName="Table2" name="Table2" id="2" totalsRowShown="0">
  <autoFilter ref="A1:E11">
    <filterColumn hiddenButton="1" colId="0"/>
    <filterColumn hiddenButton="1" colId="1"/>
    <filterColumn hiddenButton="1" colId="2"/>
    <filterColumn hiddenButton="1" colId="3"/>
    <filterColumn hiddenButton="1" colId="4"/>
  </autoFilter>
  <tableColumns count="5">
    <tableColumn name="Sr_No" id="1"/>
    <tableColumn name="Name" id="2"/>
    <tableColumn name="Salary" id="3"/>
    <tableColumn name="Tax" id="4"/>
    <tableColumn name="Net_salay" id="5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H4:H5" displayName="Table7" name="Table7" id="3" totalsRowShown="0">
  <autoFilter ref="H4:H5"/>
  <tableColumns count="1">
    <tableColumn name="Net Salary" id="1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Relationship Target="../tables/table2.xml" Type="http://schemas.openxmlformats.org/officeDocument/2006/relationships/table" Id="rId2"/><Relationship Target="../tables/table3.xml" Type="http://schemas.openxmlformats.org/officeDocument/2006/relationships/table" Id="rId3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5"/>
  <sheetViews>
    <sheetView workbookViewId="0" tabSelected="1"/>
  </sheetViews>
  <sheetFormatPr defaultRowHeight="15" x14ac:dyDescent="0.25"/>
  <cols>
    <col min="1" max="1" style="19" width="6.576428571428571" customWidth="1" bestFit="1"/>
    <col min="2" max="2" style="20" width="10.576428571428572" customWidth="1" bestFit="1"/>
    <col min="3" max="3" style="19" width="7.433571428571429" customWidth="1" bestFit="1"/>
    <col min="4" max="4" style="21" width="7.433571428571429" customWidth="1" bestFit="1"/>
    <col min="5" max="5" style="19" width="9.719285714285713" customWidth="1" bestFit="1"/>
    <col min="6" max="6" style="20" width="13.576428571428572" customWidth="1" bestFit="1"/>
    <col min="7" max="7" style="20" width="13.576428571428572" customWidth="1" bestFit="1"/>
    <col min="8" max="8" style="19" width="10.862142857142858" customWidth="1" bestFit="1"/>
    <col min="9" max="9" style="19" width="13.576428571428572" customWidth="1" bestFit="1"/>
    <col min="10" max="10" style="19" width="13.576428571428572" customWidth="1" bestFit="1"/>
    <col min="11" max="11" style="20" width="13.576428571428572" customWidth="1" bestFit="1"/>
    <col min="12" max="12" style="20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/>
      <c r="G1" s="5"/>
      <c r="H1" s="6" t="s">
        <v>3</v>
      </c>
      <c r="I1" s="6"/>
      <c r="J1" s="6"/>
      <c r="K1" s="5"/>
      <c r="L1" s="5"/>
    </row>
    <row x14ac:dyDescent="0.25" r="2" customHeight="1" ht="18.75">
      <c r="A2" s="7">
        <v>1</v>
      </c>
      <c r="B2" s="8" t="s">
        <v>5</v>
      </c>
      <c r="C2" s="7">
        <v>65000</v>
      </c>
      <c r="D2" s="7">
        <f> C2*$H$2</f>
      </c>
      <c r="E2" s="9">
        <f>Table2[[#This Row], [Salary]]*$H$5</f>
      </c>
      <c r="F2" s="5"/>
      <c r="G2" s="5"/>
      <c r="H2" s="10">
        <v>0.015</v>
      </c>
      <c r="I2" s="6"/>
      <c r="J2" s="6"/>
      <c r="K2" s="5"/>
      <c r="L2" s="5"/>
    </row>
    <row x14ac:dyDescent="0.25" r="3" customHeight="1" ht="18.75">
      <c r="A3" s="7">
        <v>2</v>
      </c>
      <c r="B3" s="8" t="s">
        <v>6</v>
      </c>
      <c r="C3" s="7">
        <v>55000</v>
      </c>
      <c r="D3" s="7">
        <f> C3*$H$2</f>
      </c>
      <c r="E3" s="7">
        <f>Table2[[#This Row], [Salary]]*$H$5</f>
      </c>
      <c r="F3" s="5"/>
      <c r="G3" s="5"/>
      <c r="H3" s="6"/>
      <c r="I3" s="6"/>
      <c r="J3" s="6"/>
      <c r="K3" s="5"/>
      <c r="L3" s="5"/>
    </row>
    <row x14ac:dyDescent="0.25" r="4" customHeight="1" ht="18.75">
      <c r="A4" s="7">
        <v>3</v>
      </c>
      <c r="B4" s="8" t="s">
        <v>7</v>
      </c>
      <c r="C4" s="7">
        <v>45000</v>
      </c>
      <c r="D4" s="7">
        <f> C4*$H$2</f>
      </c>
      <c r="E4" s="11">
        <f>Table2[[#This Row], [Salary]]*$H$5</f>
      </c>
      <c r="F4" s="5"/>
      <c r="G4" s="5"/>
      <c r="H4" s="6" t="s">
        <v>8</v>
      </c>
      <c r="I4" s="6"/>
      <c r="J4" s="6"/>
      <c r="K4" s="5"/>
      <c r="L4" s="5"/>
    </row>
    <row x14ac:dyDescent="0.25" r="5" customHeight="1" ht="18.75">
      <c r="A5" s="7">
        <v>4</v>
      </c>
      <c r="B5" s="8" t="s">
        <v>9</v>
      </c>
      <c r="C5" s="7">
        <v>36000</v>
      </c>
      <c r="D5" s="7">
        <f> C5*$H$2</f>
      </c>
      <c r="E5" s="7">
        <f>Table2[[#This Row], [Salary]]*$H$5</f>
      </c>
      <c r="F5" s="5"/>
      <c r="G5" s="5"/>
      <c r="H5" s="10">
        <v>0.35</v>
      </c>
      <c r="I5" s="6"/>
      <c r="J5" s="6"/>
      <c r="K5" s="5"/>
      <c r="L5" s="5"/>
    </row>
    <row x14ac:dyDescent="0.25" r="6" customHeight="1" ht="18.75">
      <c r="A6" s="7">
        <v>5</v>
      </c>
      <c r="B6" s="8" t="s">
        <v>10</v>
      </c>
      <c r="C6" s="7">
        <v>44000</v>
      </c>
      <c r="D6" s="7">
        <f> C6*$H$2</f>
      </c>
      <c r="E6" s="11">
        <f>Table2[[#This Row], [Salary]]*$H$5</f>
      </c>
      <c r="F6" s="5"/>
      <c r="G6" s="5"/>
      <c r="H6" s="6"/>
      <c r="I6" s="6"/>
      <c r="J6" s="6"/>
      <c r="K6" s="5"/>
      <c r="L6" s="5"/>
    </row>
    <row x14ac:dyDescent="0.25" r="7" customHeight="1" ht="18.75">
      <c r="A7" s="7">
        <v>6</v>
      </c>
      <c r="B7" s="8" t="s">
        <v>11</v>
      </c>
      <c r="C7" s="7">
        <v>30700</v>
      </c>
      <c r="D7" s="11">
        <f> C7*$H$2</f>
      </c>
      <c r="E7" s="7">
        <f>Table2[[#This Row], [Salary]]*$H$5</f>
      </c>
      <c r="F7" s="5"/>
      <c r="G7" s="5"/>
      <c r="H7" s="6"/>
      <c r="I7" s="6"/>
      <c r="J7" s="6"/>
      <c r="K7" s="5"/>
      <c r="L7" s="5"/>
    </row>
    <row x14ac:dyDescent="0.25" r="8" customHeight="1" ht="18.75">
      <c r="A8" s="7">
        <v>7</v>
      </c>
      <c r="B8" s="8" t="s">
        <v>12</v>
      </c>
      <c r="C8" s="7">
        <v>24600</v>
      </c>
      <c r="D8" s="7">
        <f> C8*$H$2</f>
      </c>
      <c r="E8" s="7">
        <f>Table2[[#This Row], [Salary]]*$H$5</f>
      </c>
      <c r="F8" s="5"/>
      <c r="G8" s="5"/>
      <c r="H8" s="6"/>
      <c r="I8" s="6"/>
      <c r="J8" s="6"/>
      <c r="K8" s="5"/>
      <c r="L8" s="5"/>
    </row>
    <row x14ac:dyDescent="0.25" r="9" customHeight="1" ht="18.75">
      <c r="A9" s="7">
        <v>8</v>
      </c>
      <c r="B9" s="8" t="s">
        <v>13</v>
      </c>
      <c r="C9" s="7">
        <v>28500</v>
      </c>
      <c r="D9" s="11">
        <f> C9*$H$2</f>
      </c>
      <c r="E9" s="7">
        <f>Table2[[#This Row], [Salary]]*$H$5</f>
      </c>
      <c r="F9" s="5"/>
      <c r="G9" s="5"/>
      <c r="H9" s="6"/>
      <c r="I9" s="6"/>
      <c r="J9" s="6"/>
      <c r="K9" s="5"/>
      <c r="L9" s="5"/>
    </row>
    <row x14ac:dyDescent="0.25" r="10" customHeight="1" ht="18.75">
      <c r="A10" s="7">
        <v>9</v>
      </c>
      <c r="B10" s="8" t="s">
        <v>14</v>
      </c>
      <c r="C10" s="7">
        <v>22400</v>
      </c>
      <c r="D10" s="7">
        <f> C10*$H$2</f>
      </c>
      <c r="E10" s="11">
        <f>Table2[[#This Row], [Salary]]*$H$5</f>
      </c>
      <c r="F10" s="5"/>
      <c r="G10" s="12" t="s">
        <v>15</v>
      </c>
      <c r="H10" s="13">
        <f>SUM(Table2[Salary])</f>
      </c>
      <c r="I10" s="13">
        <f>SUM(Asalary)</f>
      </c>
      <c r="J10" s="6"/>
      <c r="K10" s="5"/>
      <c r="L10" s="5"/>
    </row>
    <row x14ac:dyDescent="0.25" r="11" customHeight="1" ht="19.5">
      <c r="A11" s="7">
        <v>10</v>
      </c>
      <c r="B11" s="8" t="s">
        <v>16</v>
      </c>
      <c r="C11" s="7">
        <v>60300</v>
      </c>
      <c r="D11" s="11">
        <f> C11*$H$2</f>
      </c>
      <c r="E11" s="14">
        <f>Table2[[#This Row], [Salary]]*$H$5</f>
      </c>
      <c r="F11" s="5"/>
      <c r="G11" s="12" t="s">
        <v>17</v>
      </c>
      <c r="H11" s="13">
        <f>MIN(Table2[Salary])</f>
      </c>
      <c r="I11" s="13">
        <f>MIN(Asalary)</f>
      </c>
      <c r="J11" s="6"/>
      <c r="K11" s="5"/>
      <c r="L11" s="5"/>
    </row>
    <row x14ac:dyDescent="0.25" r="12" customHeight="1" ht="18.75">
      <c r="A12" s="15"/>
      <c r="B12" s="5"/>
      <c r="C12" s="6"/>
      <c r="D12" s="16"/>
      <c r="E12" s="6"/>
      <c r="F12" s="5"/>
      <c r="G12" s="12" t="s">
        <v>18</v>
      </c>
      <c r="H12" s="13">
        <f>MAX(Table2[Salary])</f>
      </c>
      <c r="I12" s="13">
        <f>MAX(Asalary)</f>
      </c>
      <c r="J12" s="6"/>
      <c r="K12" s="5"/>
      <c r="L12" s="5"/>
    </row>
    <row x14ac:dyDescent="0.25" r="13" customHeight="1" ht="18.75">
      <c r="A13" s="15"/>
      <c r="B13" s="5"/>
      <c r="C13" s="6"/>
      <c r="D13" s="16"/>
      <c r="E13" s="6"/>
      <c r="F13" s="5"/>
      <c r="G13" s="12" t="s">
        <v>19</v>
      </c>
      <c r="H13" s="13">
        <f>AVERAGE(Table2[Salary])</f>
      </c>
      <c r="I13" s="13">
        <f>AVERAGE(Asalary)</f>
      </c>
      <c r="J13" s="6"/>
      <c r="K13" s="5"/>
      <c r="L13" s="5"/>
    </row>
    <row x14ac:dyDescent="0.25" r="14" customHeight="1" ht="19.5">
      <c r="A14" s="15"/>
      <c r="B14" s="5"/>
      <c r="C14" s="6"/>
      <c r="D14" s="17" t="s">
        <v>20</v>
      </c>
      <c r="E14" s="6"/>
      <c r="F14" s="5"/>
      <c r="G14" s="12" t="s">
        <v>21</v>
      </c>
      <c r="H14" s="13">
        <f>COUNT(Table2[Salary])</f>
      </c>
      <c r="I14" s="13">
        <f>COUNT(Table2[Name])</f>
      </c>
      <c r="J14" s="18">
        <f>COUNTA(Table2[Name])</f>
      </c>
      <c r="K14" s="5"/>
      <c r="L14" s="5"/>
    </row>
    <row x14ac:dyDescent="0.25" r="15" customHeight="1" ht="18.75">
      <c r="A15" s="15"/>
      <c r="B15" s="5"/>
      <c r="C15" s="6"/>
      <c r="D15" s="16"/>
      <c r="E15" s="6"/>
      <c r="F15" s="5"/>
      <c r="G15" s="5"/>
      <c r="H15" s="6"/>
      <c r="I15" s="6"/>
      <c r="J15" s="6"/>
      <c r="K15" s="5"/>
      <c r="L15" s="5"/>
    </row>
    <row x14ac:dyDescent="0.25" r="16" customHeight="1" ht="18.75">
      <c r="A16" s="6"/>
      <c r="B16" s="5"/>
      <c r="C16" s="6"/>
      <c r="D16" s="16"/>
      <c r="E16" s="6"/>
      <c r="F16" s="5"/>
      <c r="G16" s="5"/>
      <c r="H16" s="6"/>
      <c r="I16" s="6"/>
      <c r="J16" s="6"/>
      <c r="K16" s="5"/>
      <c r="L16" s="5"/>
    </row>
    <row x14ac:dyDescent="0.25" r="17" customHeight="1" ht="18.75">
      <c r="A17" s="6"/>
      <c r="B17" s="5"/>
      <c r="C17" s="6"/>
      <c r="D17" s="16"/>
      <c r="E17" s="6"/>
      <c r="F17" s="5"/>
      <c r="G17" s="5"/>
      <c r="H17" s="6"/>
      <c r="I17" s="6"/>
      <c r="J17" s="6"/>
      <c r="K17" s="5"/>
      <c r="L17" s="5"/>
    </row>
    <row x14ac:dyDescent="0.25" r="18" customHeight="1" ht="18.75">
      <c r="A18" s="6"/>
      <c r="B18" s="5"/>
      <c r="C18" s="6"/>
      <c r="D18" s="16"/>
      <c r="E18" s="6"/>
      <c r="F18" s="5"/>
      <c r="G18" s="5"/>
      <c r="H18" s="6"/>
      <c r="I18" s="6"/>
      <c r="J18" s="6"/>
      <c r="K18" s="5"/>
      <c r="L18" s="5"/>
    </row>
    <row x14ac:dyDescent="0.25" r="19" customHeight="1" ht="18.75">
      <c r="A19" s="6"/>
      <c r="B19" s="5"/>
      <c r="C19" s="6"/>
      <c r="D19" s="16"/>
      <c r="E19" s="6"/>
      <c r="F19" s="5"/>
      <c r="G19" s="5"/>
      <c r="H19" s="6"/>
      <c r="I19" s="6"/>
      <c r="J19" s="6"/>
      <c r="K19" s="5"/>
      <c r="L19" s="5"/>
    </row>
    <row x14ac:dyDescent="0.25" r="20" customHeight="1" ht="18.75">
      <c r="A20" s="6"/>
      <c r="B20" s="5"/>
      <c r="C20" s="6"/>
      <c r="D20" s="16"/>
      <c r="E20" s="6"/>
      <c r="F20" s="5"/>
      <c r="G20" s="5"/>
      <c r="H20" s="6"/>
      <c r="I20" s="6"/>
      <c r="J20" s="6"/>
      <c r="K20" s="5"/>
      <c r="L20" s="5"/>
    </row>
    <row x14ac:dyDescent="0.25" r="21" customHeight="1" ht="18.75">
      <c r="A21" s="6"/>
      <c r="B21" s="5"/>
      <c r="C21" s="6"/>
      <c r="D21" s="16"/>
      <c r="E21" s="6"/>
      <c r="F21" s="5"/>
      <c r="G21" s="5"/>
      <c r="H21" s="6"/>
      <c r="I21" s="6"/>
      <c r="J21" s="6"/>
      <c r="K21" s="5"/>
      <c r="L21" s="5"/>
    </row>
    <row x14ac:dyDescent="0.25" r="22" customHeight="1" ht="18.75">
      <c r="A22" s="6"/>
      <c r="B22" s="5"/>
      <c r="C22" s="6"/>
      <c r="D22" s="16"/>
      <c r="E22" s="6"/>
      <c r="F22" s="5"/>
      <c r="G22" s="5"/>
      <c r="H22" s="6"/>
      <c r="I22" s="6"/>
      <c r="J22" s="6"/>
      <c r="K22" s="5"/>
      <c r="L22" s="5"/>
    </row>
    <row x14ac:dyDescent="0.25" r="23" customHeight="1" ht="18.75">
      <c r="A23" s="6"/>
      <c r="B23" s="5"/>
      <c r="C23" s="6"/>
      <c r="D23" s="16"/>
      <c r="E23" s="6"/>
      <c r="F23" s="5"/>
      <c r="G23" s="5"/>
      <c r="H23" s="6"/>
      <c r="I23" s="6"/>
      <c r="J23" s="6"/>
      <c r="K23" s="5"/>
      <c r="L23" s="5"/>
    </row>
    <row x14ac:dyDescent="0.25" r="24" customHeight="1" ht="18.75">
      <c r="A24" s="6"/>
      <c r="B24" s="5"/>
      <c r="C24" s="6"/>
      <c r="D24" s="16"/>
      <c r="E24" s="6"/>
      <c r="F24" s="5"/>
      <c r="G24" s="5"/>
      <c r="H24" s="6"/>
      <c r="I24" s="6"/>
      <c r="J24" s="6"/>
      <c r="K24" s="5"/>
      <c r="L24" s="5"/>
    </row>
    <row x14ac:dyDescent="0.25" r="25" customHeight="1" ht="18.75">
      <c r="A25" s="6"/>
      <c r="B25" s="5"/>
      <c r="C25" s="6"/>
      <c r="D25" s="16"/>
      <c r="E25" s="6"/>
      <c r="F25" s="5"/>
      <c r="G25" s="5"/>
      <c r="H25" s="6"/>
      <c r="I25" s="6"/>
      <c r="J25" s="6"/>
      <c r="K25" s="5"/>
      <c r="L25" s="5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2025-11-18T08:40:36.851Z</dcterms:created>
  <dcterms:modified xsi:type="dcterms:W3CDTF">2025-11-18T08:40:36.851Z</dcterms:modified>
</cp:coreProperties>
</file>