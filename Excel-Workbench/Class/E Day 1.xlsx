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hank\Documents\Data Analitics\Excel\Class\"/>
    </mc:Choice>
  </mc:AlternateContent>
  <xr:revisionPtr revIDLastSave="0" documentId="13_ncr:1_{4BF63B67-6F39-48C1-A669-0FF468E5D207}" xr6:coauthVersionLast="47" xr6:coauthVersionMax="47" xr10:uidLastSave="{00000000-0000-0000-0000-000000000000}"/>
  <bookViews>
    <workbookView xWindow="-108" yWindow="-108" windowWidth="23256" windowHeight="13176" xr2:uid="{02679D0B-9748-4778-9CF5-EA7B7599F7C0}"/>
  </bookViews>
  <sheets>
    <sheet name="Sheet1" sheetId="1" r:id="rId1"/>
    <sheet name="Sheet2" sheetId="2" r:id="rId2"/>
  </sheets>
  <definedNames>
    <definedName name="Asalary">Table2[Salary]</definedName>
    <definedName name="Gsalary">Table2[Salary]</definedName>
    <definedName name="Omkar">Sheet1!$C$7:$G$19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3" i="1" l="1"/>
  <c r="I12" i="1"/>
  <c r="I11" i="1"/>
  <c r="I10" i="1"/>
  <c r="J14" i="1"/>
  <c r="I14" i="1"/>
  <c r="H14" i="1"/>
  <c r="H13" i="1"/>
  <c r="H12" i="1"/>
  <c r="H11" i="1"/>
  <c r="H10" i="1"/>
  <c r="E2" i="1"/>
  <c r="E3" i="1"/>
  <c r="E4" i="1"/>
  <c r="E5" i="1"/>
  <c r="E6" i="1"/>
  <c r="E7" i="1"/>
  <c r="E8" i="1"/>
  <c r="E9" i="1"/>
  <c r="E10" i="1"/>
  <c r="E11" i="1"/>
  <c r="D3" i="1"/>
  <c r="D4" i="1"/>
  <c r="D5" i="1"/>
  <c r="D6" i="1"/>
  <c r="D7" i="1"/>
  <c r="D8" i="1"/>
  <c r="D9" i="1"/>
  <c r="D10" i="1"/>
  <c r="D11" i="1"/>
  <c r="D2" i="1"/>
</calcChain>
</file>

<file path=xl/sharedStrings.xml><?xml version="1.0" encoding="utf-8"?>
<sst xmlns="http://schemas.openxmlformats.org/spreadsheetml/2006/main" count="22" uniqueCount="21">
  <si>
    <t>Omkar</t>
  </si>
  <si>
    <t xml:space="preserve">Kaushal </t>
  </si>
  <si>
    <t xml:space="preserve">Vivek </t>
  </si>
  <si>
    <t xml:space="preserve">Soham </t>
  </si>
  <si>
    <t>Aditya</t>
  </si>
  <si>
    <t>Siddhesh</t>
  </si>
  <si>
    <t>Dipak</t>
  </si>
  <si>
    <t>Sevak</t>
  </si>
  <si>
    <t>Raj</t>
  </si>
  <si>
    <t>Ganesh</t>
  </si>
  <si>
    <t>Name</t>
  </si>
  <si>
    <t>Salary</t>
  </si>
  <si>
    <t>Tax</t>
  </si>
  <si>
    <t>Sr_No</t>
  </si>
  <si>
    <t>Net_salay</t>
  </si>
  <si>
    <t>Net Salary</t>
  </si>
  <si>
    <t>sum</t>
  </si>
  <si>
    <t>min</t>
  </si>
  <si>
    <t>max</t>
  </si>
  <si>
    <t>avg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</si>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</sst>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Fill="1"/>
    <xf numFmtId="14" fontId="0" fillId="0" borderId="0" xfId="0" applyNumberFormat="1"/>
    <xf numFmtId="0" fontId="0" fillId="0" borderId="1" xfId="0" applyBorder="1"/>
    <xf numFmtId="9" fontId="0" fillId="0" borderId="0" xfId="0" applyNumberFormat="1"/>
    <xf numFmtId="0" fontId="2" fillId="0" borderId="1" xfId="0" applyFon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2" fillId="0" borderId="1" xfId="0" applyFont="1" applyFill="1" applyBorder="1"/>
    <xf numFmtId="0" fontId="2" fillId="0" borderId="5" xfId="0" applyFont="1" applyFill="1" applyBorder="1"/>
    <xf numFmtId="0" fontId="2" fillId="0" borderId="3" xfId="0" applyFont="1" applyBorder="1"/>
    <xf numFmtId="0" fontId="0" fillId="0" borderId="1" xfId="0" applyFill="1" applyBorder="1"/>
  </cellXfs>
  <cellStyles count="1">
    <cellStyle name="Normal" xfId="0" builtinId="0"/>
  </cellStyles>
  <dxfs count="11"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E73770-55B0-4BAD-98D3-98D544950C10}" name="Table1" displayName="Table1" ref="H1:H2" totalsRowShown="0">
  <autoFilter ref="H1:H2" xr:uid="{AAE73770-55B0-4BAD-98D3-98D544950C10}">
    <filterColumn colId="0" hiddenButton="1"/>
  </autoFilter>
  <tableColumns count="1">
    <tableColumn id="1" xr3:uid="{8D669041-0F6E-49D9-B9AD-3CB9330CED44}" name="Tax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7612E2-4A9A-4F12-986F-149E6ED9EE5A}" name="Table2" displayName="Table2" ref="A1:E11" totalsRowShown="0" headerRowDxfId="9" headerRowBorderDxfId="7" tableBorderDxfId="8" totalsRowBorderDxfId="6">
  <autoFilter ref="A1:E11" xr:uid="{227612E2-4A9A-4F12-986F-149E6ED9EE5A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6DA076C-FB90-4428-A04E-F42302D6952B}" name="Sr_No" dataDxfId="5"/>
    <tableColumn id="2" xr3:uid="{82455107-7391-487B-8D63-89821278D414}" name="Name" dataDxfId="4"/>
    <tableColumn id="3" xr3:uid="{0A80A267-BBD1-4233-8F9E-BC575F563B6A}" name="Salary" dataDxfId="3"/>
    <tableColumn id="4" xr3:uid="{ABEA9058-9A5E-4DAC-8CC0-F8391AAE10F4}" name="Tax" dataDxfId="2">
      <calculatedColumnFormula xml:space="preserve"> C2*$H$2</calculatedColumnFormula>
    </tableColumn>
    <tableColumn id="5" xr3:uid="{3BFC8E21-067E-4D50-99CC-1F65F9A51D66}" name="Net_salay" dataDxfId="1">
      <calculatedColumnFormula>Table2[[#This Row],[Salary]]*$H$5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4F7ECEC-195D-44F1-96C4-CB8BB1D5564C}" name="Table7" displayName="Table7" ref="H4:H5" totalsRowShown="0">
  <autoFilter ref="H4:H5" xr:uid="{64F7ECEC-195D-44F1-96C4-CB8BB1D5564C}"/>
  <tableColumns count="1">
    <tableColumn id="1" xr3:uid="{ED710EF6-FED3-4A1D-9C45-A75521536351}" name="Net Salar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2E08F-5E1E-43C8-8BD0-F375B4B3DEAE}">
  <sheetPr>
    <tabColor rgb="FF00B050"/>
  </sheetPr>
  <dimension ref="A1:L25"/>
  <sheetViews>
    <sheetView tabSelected="1" zoomScale="140" zoomScaleNormal="100" workbookViewId="0">
      <selection activeCell="H14" sqref="H14"/>
    </sheetView>
  </sheetViews>
  <sheetFormatPr defaultRowHeight="14.4" x14ac:dyDescent="0.3"/>
  <cols>
    <col min="1" max="1" width="6.5546875" bestFit="1" customWidth="1"/>
    <col min="2" max="2" width="10.5546875" bestFit="1" customWidth="1"/>
    <col min="3" max="4" width="7.44140625" bestFit="1" customWidth="1"/>
    <col min="5" max="5" width="9.6640625" bestFit="1" customWidth="1"/>
    <col min="8" max="8" width="10.88671875" customWidth="1"/>
  </cols>
  <sheetData>
    <row r="1" spans="1:12" x14ac:dyDescent="0.3">
      <c r="A1" s="6" t="s">
        <v>13</v>
      </c>
      <c r="B1" s="7" t="s">
        <v>10</v>
      </c>
      <c r="C1" s="7" t="s">
        <v>11</v>
      </c>
      <c r="D1" s="8" t="s">
        <v>12</v>
      </c>
      <c r="E1" s="7" t="s">
        <v>14</v>
      </c>
      <c r="H1" t="s">
        <v>12</v>
      </c>
    </row>
    <row r="2" spans="1:12" x14ac:dyDescent="0.3">
      <c r="A2" s="5">
        <v>1</v>
      </c>
      <c r="B2" s="5" t="s">
        <v>0</v>
      </c>
      <c r="C2" s="5">
        <v>65000</v>
      </c>
      <c r="D2" s="5">
        <f xml:space="preserve"> C2*$H$2</f>
        <v>975</v>
      </c>
      <c r="E2" s="11">
        <f>Table2[[#This Row],[Salary]]*$H$5</f>
        <v>22750</v>
      </c>
      <c r="H2" s="4">
        <v>1.4999999999999999E-2</v>
      </c>
    </row>
    <row r="3" spans="1:12" x14ac:dyDescent="0.3">
      <c r="A3" s="5">
        <v>2</v>
      </c>
      <c r="B3" s="5" t="s">
        <v>1</v>
      </c>
      <c r="C3" s="5">
        <v>55000</v>
      </c>
      <c r="D3" s="5">
        <f xml:space="preserve"> C3*$H$2</f>
        <v>825</v>
      </c>
      <c r="E3" s="5">
        <f>Table2[[#This Row],[Salary]]*$H$5</f>
        <v>19250</v>
      </c>
    </row>
    <row r="4" spans="1:12" x14ac:dyDescent="0.3">
      <c r="A4" s="5">
        <v>3</v>
      </c>
      <c r="B4" s="5" t="s">
        <v>2</v>
      </c>
      <c r="C4" s="5">
        <v>45000</v>
      </c>
      <c r="D4" s="5">
        <f xml:space="preserve"> C4*$H$2</f>
        <v>675</v>
      </c>
      <c r="E4" s="5">
        <f>Table2[[#This Row],[Salary]]*$H$5</f>
        <v>15749.999999999998</v>
      </c>
      <c r="H4" t="s">
        <v>15</v>
      </c>
    </row>
    <row r="5" spans="1:12" x14ac:dyDescent="0.3">
      <c r="A5" s="5">
        <v>4</v>
      </c>
      <c r="B5" s="5" t="s">
        <v>3</v>
      </c>
      <c r="C5" s="5">
        <v>36000</v>
      </c>
      <c r="D5" s="5">
        <f xml:space="preserve"> C5*$H$2</f>
        <v>540</v>
      </c>
      <c r="E5" s="5">
        <f>Table2[[#This Row],[Salary]]*$H$5</f>
        <v>12600</v>
      </c>
      <c r="H5" s="4">
        <v>0.35</v>
      </c>
    </row>
    <row r="6" spans="1:12" x14ac:dyDescent="0.3">
      <c r="A6" s="5">
        <v>5</v>
      </c>
      <c r="B6" s="5" t="s">
        <v>4</v>
      </c>
      <c r="C6" s="5">
        <v>44000</v>
      </c>
      <c r="D6" s="5">
        <f xml:space="preserve"> C6*$H$2</f>
        <v>660</v>
      </c>
      <c r="E6" s="5">
        <f>Table2[[#This Row],[Salary]]*$H$5</f>
        <v>15399.999999999998</v>
      </c>
      <c r="I6" s="1"/>
    </row>
    <row r="7" spans="1:12" x14ac:dyDescent="0.3">
      <c r="A7" s="5">
        <v>6</v>
      </c>
      <c r="B7" s="5" t="s">
        <v>5</v>
      </c>
      <c r="C7" s="5">
        <v>30700</v>
      </c>
      <c r="D7" s="5">
        <f xml:space="preserve"> C7*$H$2</f>
        <v>460.5</v>
      </c>
      <c r="E7" s="5">
        <f>Table2[[#This Row],[Salary]]*$H$5</f>
        <v>10745</v>
      </c>
    </row>
    <row r="8" spans="1:12" x14ac:dyDescent="0.3">
      <c r="A8" s="5">
        <v>7</v>
      </c>
      <c r="B8" s="5" t="s">
        <v>6</v>
      </c>
      <c r="C8" s="5">
        <v>24600</v>
      </c>
      <c r="D8" s="5">
        <f xml:space="preserve"> C8*$H$2</f>
        <v>369</v>
      </c>
      <c r="E8" s="9">
        <f>Table2[[#This Row],[Salary]]*$H$5</f>
        <v>8610</v>
      </c>
      <c r="F8" s="1"/>
      <c r="G8" s="1"/>
      <c r="H8" s="1"/>
      <c r="I8" s="1"/>
      <c r="J8" s="1"/>
      <c r="K8" s="1"/>
      <c r="L8" s="1"/>
    </row>
    <row r="9" spans="1:12" x14ac:dyDescent="0.3">
      <c r="A9" s="5">
        <v>8</v>
      </c>
      <c r="B9" s="5" t="s">
        <v>7</v>
      </c>
      <c r="C9" s="5">
        <v>28500</v>
      </c>
      <c r="D9" s="5">
        <f xml:space="preserve"> C9*$H$2</f>
        <v>427.5</v>
      </c>
      <c r="E9" s="9">
        <f>Table2[[#This Row],[Salary]]*$H$5</f>
        <v>9975</v>
      </c>
      <c r="F9" s="1"/>
      <c r="G9" s="1"/>
      <c r="H9" s="1"/>
      <c r="I9" s="1"/>
      <c r="J9" s="1"/>
      <c r="K9" s="1"/>
      <c r="L9" s="1"/>
    </row>
    <row r="10" spans="1:12" x14ac:dyDescent="0.3">
      <c r="A10" s="5">
        <v>9</v>
      </c>
      <c r="B10" s="5" t="s">
        <v>8</v>
      </c>
      <c r="C10" s="5">
        <v>22400</v>
      </c>
      <c r="D10" s="5">
        <f xml:space="preserve"> C10*$H$2</f>
        <v>336</v>
      </c>
      <c r="E10" s="9">
        <f>Table2[[#This Row],[Salary]]*$H$5</f>
        <v>7839.9999999999991</v>
      </c>
      <c r="F10" s="1"/>
      <c r="G10" s="12" t="s">
        <v>16</v>
      </c>
      <c r="H10" s="12">
        <f>SUM(Table2[Salary])</f>
        <v>411500</v>
      </c>
      <c r="I10" s="12">
        <f>SUM(Asalary)</f>
        <v>411500</v>
      </c>
      <c r="J10" s="1"/>
      <c r="K10" s="1"/>
      <c r="L10" s="1"/>
    </row>
    <row r="11" spans="1:12" x14ac:dyDescent="0.3">
      <c r="A11" s="5">
        <v>10</v>
      </c>
      <c r="B11" s="5" t="s">
        <v>9</v>
      </c>
      <c r="C11" s="5">
        <v>60300</v>
      </c>
      <c r="D11" s="5">
        <f xml:space="preserve"> C11*$H$2</f>
        <v>904.5</v>
      </c>
      <c r="E11" s="10">
        <f>Table2[[#This Row],[Salary]]*$H$5</f>
        <v>21105</v>
      </c>
      <c r="F11" s="1"/>
      <c r="G11" s="12" t="s">
        <v>17</v>
      </c>
      <c r="H11" s="12">
        <f>MIN(Table2[Salary])</f>
        <v>22400</v>
      </c>
      <c r="I11" s="12">
        <f>MIN(Asalary)</f>
        <v>22400</v>
      </c>
      <c r="J11" s="1"/>
      <c r="K11" s="1"/>
      <c r="L11" s="1"/>
    </row>
    <row r="12" spans="1:12" x14ac:dyDescent="0.3">
      <c r="A12" s="2"/>
      <c r="C12" s="1"/>
      <c r="D12" s="1"/>
      <c r="G12" s="3" t="s">
        <v>18</v>
      </c>
      <c r="H12" s="3">
        <f>MAX(Table2[Salary])</f>
        <v>65000</v>
      </c>
      <c r="I12" s="3">
        <f>MAX(Asalary)</f>
        <v>65000</v>
      </c>
      <c r="J12" s="1"/>
      <c r="K12" s="1"/>
      <c r="L12" s="1"/>
    </row>
    <row r="13" spans="1:12" x14ac:dyDescent="0.3">
      <c r="A13" s="2"/>
      <c r="C13" s="1"/>
      <c r="D13" s="1"/>
      <c r="G13" s="3" t="s">
        <v>19</v>
      </c>
      <c r="H13" s="3">
        <f>AVERAGE(Table2[Salary])</f>
        <v>41150</v>
      </c>
      <c r="I13" s="12">
        <f>AVERAGE(Asalary)</f>
        <v>41150</v>
      </c>
      <c r="J13" s="1"/>
      <c r="K13" s="1"/>
      <c r="L13" s="1"/>
    </row>
    <row r="14" spans="1:12" x14ac:dyDescent="0.3">
      <c r="A14" s="2"/>
      <c r="C14" s="1"/>
      <c r="D14" s="1"/>
      <c r="E14" s="1"/>
      <c r="F14" s="1"/>
      <c r="G14" s="12" t="s">
        <v>20</v>
      </c>
      <c r="H14" s="12">
        <f>COUNT(Table2[Salary])</f>
        <v>10</v>
      </c>
      <c r="I14" s="3">
        <f>COUNT(Table2[Name])</f>
        <v>0</v>
      </c>
      <c r="J14" s="1">
        <f>COUNTA(Table2[Name])</f>
        <v>10</v>
      </c>
      <c r="K14" s="1"/>
      <c r="L14" s="1"/>
    </row>
    <row r="15" spans="1:12" x14ac:dyDescent="0.3">
      <c r="A15" s="2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x14ac:dyDescent="0.3"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3:12" x14ac:dyDescent="0.3"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3:12" x14ac:dyDescent="0.3"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3:12" x14ac:dyDescent="0.3"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3:12" x14ac:dyDescent="0.3"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3:12" x14ac:dyDescent="0.3"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3:12" x14ac:dyDescent="0.3"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3:12" x14ac:dyDescent="0.3"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3:12" x14ac:dyDescent="0.3"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3:12" x14ac:dyDescent="0.3">
      <c r="C25" s="1"/>
      <c r="D25" s="1"/>
      <c r="E25" s="1"/>
      <c r="F25" s="1"/>
      <c r="G25" s="1"/>
      <c r="H25" s="1"/>
      <c r="I25" s="1"/>
      <c r="J25" s="1"/>
      <c r="K25" s="1"/>
      <c r="L25" s="1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89905-4BDB-4E93-89E0-B4C904B1CA35}">
  <sheetPr>
    <tabColor theme="8" tint="0.39997558519241921"/>
  </sheetPr>
  <dimension ref="A1"/>
  <sheetViews>
    <sheetView workbookViewId="0">
      <selection activeCell="C10" sqref="C10"/>
    </sheetView>
  </sheetViews>
  <sheetFormatPr defaultRowHeight="14.4" x14ac:dyDescent="0.3"/>
  <sheetData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Asalary</vt:lpstr>
      <vt:lpstr>Gsalary</vt:lpstr>
      <vt:lpstr>Omkar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omkar dhanke</dc:creator>
  <cp:lastModifiedBy>omkar dhanke</cp:lastModifiedBy>
  <dcterms:created xsi:type="dcterms:W3CDTF">2025-11-17T08:34:19Z</dcterms:created>
  <dcterms:modified xsi:type="dcterms:W3CDTF">2025-11-17T10:23:20Z</dcterms:modified>
</cp:coreProperties>
</file>